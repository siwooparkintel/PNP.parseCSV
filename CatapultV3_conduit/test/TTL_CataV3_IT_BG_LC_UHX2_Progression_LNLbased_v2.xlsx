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siwoopar\code\parseCSV\PowerSocPCIe_summary_LNL\test\"/>
    </mc:Choice>
  </mc:AlternateContent>
  <xr:revisionPtr revIDLastSave="0" documentId="13_ncr:1_{F790551B-DBE7-4600-BBDA-5F4806865571}" xr6:coauthVersionLast="47" xr6:coauthVersionMax="47" xr10:uidLastSave="{00000000-0000-0000-0000-000000000000}"/>
  <bookViews>
    <workbookView xWindow="18810" yWindow="15" windowWidth="19590" windowHeight="209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26" i="1" l="1"/>
  <c r="AA224" i="1"/>
  <c r="AA234" i="1"/>
  <c r="AA235" i="1"/>
  <c r="AA236" i="1"/>
  <c r="AA237" i="1"/>
  <c r="AA238" i="1"/>
  <c r="AA239" i="1"/>
  <c r="AA240" i="1"/>
  <c r="AA241" i="1"/>
  <c r="AA242" i="1"/>
  <c r="AA243" i="1"/>
  <c r="AA244" i="1"/>
  <c r="AA233" i="1"/>
  <c r="AA225" i="1"/>
  <c r="AA227" i="1"/>
  <c r="AA228" i="1"/>
  <c r="AA229" i="1"/>
  <c r="AA230" i="1"/>
  <c r="AA231" i="1"/>
  <c r="AA223" i="1"/>
  <c r="AA211" i="1"/>
  <c r="AA212" i="1"/>
  <c r="AA213" i="1"/>
  <c r="AA214" i="1"/>
  <c r="AA215" i="1"/>
  <c r="AA216" i="1"/>
  <c r="AA217" i="1"/>
  <c r="AA218" i="1"/>
  <c r="AA219" i="1"/>
  <c r="AA220" i="1"/>
  <c r="AA221" i="1"/>
  <c r="AA210" i="1"/>
  <c r="AA203" i="1"/>
  <c r="AA204" i="1"/>
  <c r="AA205" i="1"/>
  <c r="AA202" i="1"/>
  <c r="AA199" i="1"/>
  <c r="AA200" i="1"/>
  <c r="AA198" i="1"/>
  <c r="AA194" i="1"/>
  <c r="AA195" i="1"/>
  <c r="AA196" i="1"/>
  <c r="AA193" i="1"/>
  <c r="AA188" i="1"/>
  <c r="AA189" i="1"/>
  <c r="AA190" i="1"/>
  <c r="AA191" i="1"/>
  <c r="AA187" i="1"/>
  <c r="AA185" i="1"/>
  <c r="AA184" i="1"/>
  <c r="AA176" i="1"/>
  <c r="AA177" i="1"/>
  <c r="AA178" i="1"/>
  <c r="AA175" i="1"/>
  <c r="AA169" i="1"/>
  <c r="AA170" i="1"/>
  <c r="AA171" i="1"/>
  <c r="AA172" i="1"/>
  <c r="AA173" i="1"/>
  <c r="AA168" i="1"/>
  <c r="AA160" i="1"/>
  <c r="AA161" i="1"/>
  <c r="AA162" i="1"/>
  <c r="AA163" i="1"/>
  <c r="AA164" i="1"/>
  <c r="AA165" i="1"/>
  <c r="AA166" i="1"/>
  <c r="AA159" i="1"/>
  <c r="AA155" i="1"/>
  <c r="AA92" i="1"/>
  <c r="AA67" i="1"/>
  <c r="AA57" i="1"/>
  <c r="AA58" i="1"/>
  <c r="AA59" i="1"/>
  <c r="AA60" i="1"/>
  <c r="AA61" i="1"/>
  <c r="AA62" i="1"/>
  <c r="AA63" i="1"/>
  <c r="AA64" i="1"/>
  <c r="AA56" i="1"/>
  <c r="R234" i="1"/>
  <c r="R235" i="1"/>
  <c r="R236" i="1"/>
  <c r="R237" i="1"/>
  <c r="R238" i="1"/>
  <c r="R239" i="1"/>
  <c r="R240" i="1"/>
  <c r="R241" i="1"/>
  <c r="R242" i="1"/>
  <c r="R243" i="1"/>
  <c r="R244" i="1"/>
  <c r="R233" i="1"/>
  <c r="R224" i="1"/>
  <c r="R225" i="1"/>
  <c r="R226" i="1"/>
  <c r="R227" i="1"/>
  <c r="R228" i="1"/>
  <c r="R229" i="1"/>
  <c r="R230" i="1"/>
  <c r="R231" i="1"/>
  <c r="R223" i="1"/>
  <c r="R211" i="1"/>
  <c r="R212" i="1"/>
  <c r="R213" i="1"/>
  <c r="R214" i="1"/>
  <c r="R215" i="1"/>
  <c r="R216" i="1"/>
  <c r="R217" i="1"/>
  <c r="R218" i="1"/>
  <c r="R219" i="1"/>
  <c r="R220" i="1"/>
  <c r="R221" i="1"/>
  <c r="R210" i="1"/>
  <c r="R203" i="1"/>
  <c r="R204" i="1"/>
  <c r="R205" i="1"/>
  <c r="R206" i="1"/>
  <c r="R207" i="1"/>
  <c r="R202" i="1"/>
  <c r="R199" i="1"/>
  <c r="R200" i="1"/>
  <c r="R198" i="1"/>
  <c r="R194" i="1"/>
  <c r="R195" i="1"/>
  <c r="R196" i="1"/>
  <c r="R193" i="1"/>
  <c r="R185" i="1"/>
  <c r="R184" i="1"/>
  <c r="R176" i="1"/>
  <c r="R177" i="1"/>
  <c r="R178" i="1"/>
  <c r="R175" i="1"/>
  <c r="R169" i="1"/>
  <c r="R170" i="1"/>
  <c r="R171" i="1"/>
  <c r="R172" i="1"/>
  <c r="R173" i="1"/>
  <c r="R168" i="1"/>
  <c r="R160" i="1"/>
  <c r="R161" i="1"/>
  <c r="R162" i="1"/>
  <c r="R163" i="1"/>
  <c r="R164" i="1"/>
  <c r="R165" i="1"/>
  <c r="R166" i="1"/>
  <c r="R159" i="1"/>
  <c r="R147" i="1"/>
  <c r="AA147" i="1" s="1"/>
  <c r="R149" i="1"/>
  <c r="AA149" i="1" s="1"/>
  <c r="R150" i="1"/>
  <c r="AA150" i="1" s="1"/>
  <c r="R151" i="1"/>
  <c r="AA151" i="1" s="1"/>
  <c r="R152" i="1"/>
  <c r="AA152" i="1" s="1"/>
  <c r="R153" i="1"/>
  <c r="AA153" i="1" s="1"/>
  <c r="R154" i="1"/>
  <c r="AA154" i="1" s="1"/>
  <c r="R155" i="1"/>
  <c r="R156" i="1"/>
  <c r="AA156" i="1" s="1"/>
  <c r="R157" i="1"/>
  <c r="AA157" i="1" s="1"/>
  <c r="R146" i="1"/>
  <c r="AA146" i="1" s="1"/>
  <c r="R88" i="1"/>
  <c r="AA88" i="1" s="1"/>
  <c r="R89" i="1"/>
  <c r="AA89" i="1" s="1"/>
  <c r="R90" i="1"/>
  <c r="AA90" i="1" s="1"/>
  <c r="R91" i="1"/>
  <c r="AA91" i="1" s="1"/>
  <c r="R92" i="1"/>
  <c r="R93" i="1"/>
  <c r="AA93" i="1" s="1"/>
  <c r="R94" i="1"/>
  <c r="AA94" i="1" s="1"/>
  <c r="R87" i="1"/>
  <c r="AA87" i="1" s="1"/>
  <c r="R83" i="1"/>
  <c r="AA83" i="1" s="1"/>
  <c r="R84" i="1"/>
  <c r="AA84" i="1" s="1"/>
  <c r="R85" i="1"/>
  <c r="AA85" i="1" s="1"/>
  <c r="R82" i="1"/>
  <c r="AA82" i="1" s="1"/>
  <c r="R67" i="1"/>
  <c r="R68" i="1"/>
  <c r="AA68" i="1" s="1"/>
  <c r="R69" i="1"/>
  <c r="AA69" i="1" s="1"/>
  <c r="R70" i="1"/>
  <c r="AA70" i="1" s="1"/>
  <c r="R71" i="1"/>
  <c r="AA71" i="1" s="1"/>
  <c r="R72" i="1"/>
  <c r="AA72" i="1" s="1"/>
  <c r="R73" i="1"/>
  <c r="AA73" i="1" s="1"/>
  <c r="R66" i="1"/>
  <c r="AA66" i="1" s="1"/>
  <c r="R48" i="1"/>
  <c r="AA48" i="1" s="1"/>
  <c r="R49" i="1"/>
  <c r="AA49" i="1" s="1"/>
  <c r="R50" i="1"/>
  <c r="AA50" i="1" s="1"/>
  <c r="R51" i="1"/>
  <c r="AA51" i="1" s="1"/>
  <c r="R52" i="1"/>
  <c r="AA52" i="1" s="1"/>
  <c r="R53" i="1"/>
  <c r="AA53" i="1" s="1"/>
  <c r="R54" i="1"/>
  <c r="AA54" i="1" s="1"/>
  <c r="R47" i="1"/>
  <c r="AA47" i="1" s="1"/>
  <c r="R40" i="1"/>
  <c r="AA40" i="1" s="1"/>
  <c r="R41" i="1"/>
  <c r="AA41" i="1" s="1"/>
  <c r="R42" i="1"/>
  <c r="AA42" i="1" s="1"/>
  <c r="R43" i="1"/>
  <c r="AA43" i="1" s="1"/>
  <c r="R44" i="1"/>
  <c r="AA44" i="1" s="1"/>
  <c r="R45" i="1"/>
  <c r="AA45" i="1" s="1"/>
  <c r="R39" i="1"/>
  <c r="AA39" i="1" s="1"/>
  <c r="R14" i="1"/>
  <c r="AA14" i="1" s="1"/>
  <c r="R15" i="1"/>
  <c r="AA15" i="1" s="1"/>
  <c r="R16" i="1"/>
  <c r="AA16" i="1" s="1"/>
  <c r="R17" i="1"/>
  <c r="AA17" i="1" s="1"/>
  <c r="R18" i="1"/>
  <c r="AA18" i="1" s="1"/>
  <c r="R19" i="1"/>
  <c r="AA19" i="1" s="1"/>
  <c r="R20" i="1"/>
  <c r="AA20" i="1" s="1"/>
  <c r="R21" i="1"/>
  <c r="AA21" i="1" s="1"/>
  <c r="R22" i="1"/>
  <c r="AA22" i="1" s="1"/>
  <c r="R23" i="1"/>
  <c r="AA23" i="1" s="1"/>
  <c r="R24" i="1"/>
  <c r="AA24" i="1" s="1"/>
  <c r="R25" i="1"/>
  <c r="AA25" i="1" s="1"/>
  <c r="R26" i="1"/>
  <c r="AA26" i="1" s="1"/>
  <c r="R27" i="1"/>
  <c r="AA27" i="1" s="1"/>
  <c r="R13" i="1"/>
  <c r="AA13" i="1" s="1"/>
  <c r="R4" i="1"/>
  <c r="AA4" i="1" s="1"/>
</calcChain>
</file>

<file path=xl/sharedStrings.xml><?xml version="1.0" encoding="utf-8"?>
<sst xmlns="http://schemas.openxmlformats.org/spreadsheetml/2006/main" count="677" uniqueCount="576">
  <si>
    <t>Attribute</t>
  </si>
  <si>
    <t>data_label</t>
  </si>
  <si>
    <t>CataV3 UHX1</t>
  </si>
  <si>
    <t>CataV3 UHX1 LC</t>
  </si>
  <si>
    <t>CataV3 UHX2 baseline</t>
  </si>
  <si>
    <t>condition</t>
  </si>
  <si>
    <t>CataV3+UHX1</t>
  </si>
  <si>
    <t>CataV3+UHX1+LC</t>
  </si>
  <si>
    <t>P_SSD</t>
  </si>
  <si>
    <t>V_VAL_VCC_PCORE</t>
  </si>
  <si>
    <t>I_VAL_VCC_PCORE</t>
  </si>
  <si>
    <t>V_VAL_VCC_ECORE</t>
  </si>
  <si>
    <t>I_VAL_VCC_ECORE</t>
  </si>
  <si>
    <t>V_VAL_VCCSA</t>
  </si>
  <si>
    <t>I_VAL_VCCSA</t>
  </si>
  <si>
    <t>V_VAL_VCCGT</t>
  </si>
  <si>
    <t>I_VAL_VCCGT</t>
  </si>
  <si>
    <t>P_VCC_PCORE</t>
  </si>
  <si>
    <t>P_VCC_ECORE</t>
  </si>
  <si>
    <t>P_VCCSA</t>
  </si>
  <si>
    <t>P_VCCGT</t>
  </si>
  <si>
    <t>P_VCCL2</t>
  </si>
  <si>
    <t>P_VCC1P8</t>
  </si>
  <si>
    <t>P_VCCIO</t>
  </si>
  <si>
    <t>P_VCCDDRIO</t>
  </si>
  <si>
    <t>P_VNNAON</t>
  </si>
  <si>
    <t>P_VNNAONLV</t>
  </si>
  <si>
    <t>P_VDDQ</t>
  </si>
  <si>
    <t>P_VDD2H</t>
  </si>
  <si>
    <t>P_VDD2L</t>
  </si>
  <si>
    <t>P_V1P8U_MEM</t>
  </si>
  <si>
    <t>P_SOC+MEMORY</t>
  </si>
  <si>
    <t>Run Time</t>
  </si>
  <si>
    <t>power_path</t>
  </si>
  <si>
    <t>\\amr.corp.intel.com\EC\proj\pst\jf\SPA-Lab\Siwoo\CatapultV3\WW20.2_LNL32_CataV3_PC10.2\PC10.2_UHX\web_cataV3_si_001_ppick\web_cataV3_si_001\web_cataV3_si_001_pacs-summary.csv</t>
  </si>
  <si>
    <t>\\amr.corp.intel.com\EC\proj\pst\jf\SPA-Lab\Siwoo\CatapultV3\WW20.2_LNL32_CataV3_PC10.2\PC10.2_UHX_LCLT\web_cataV3_si_006_ppick\web_cataV3_si_006\web_cataV3_si_006_pacs-summary.csv</t>
  </si>
  <si>
    <t>\\amr.corp.intel.com\EC\proj\pst\jf\SPA-Lab\Siwoo\CatapultV3\WW2533.2_CataV3ITCCAUHX2_DCBAL\UHX2_DC_011\UHX2_DC_011_pacs-summary.csv</t>
  </si>
  <si>
    <t>Core_0        CPU_model</t>
  </si>
  <si>
    <t>LNC</t>
  </si>
  <si>
    <t>Core_1        CPU_model</t>
  </si>
  <si>
    <t>Core_2        CPU_model</t>
  </si>
  <si>
    <t>Core_3        CPU_model</t>
  </si>
  <si>
    <t>Core_4        CPU_model</t>
  </si>
  <si>
    <t>SKT</t>
  </si>
  <si>
    <t>Core_5        CPU_model</t>
  </si>
  <si>
    <t>Core_6        CPU_model</t>
  </si>
  <si>
    <t>Core_7        CPU_model</t>
  </si>
  <si>
    <t>C-State        PKG_Cstate</t>
  </si>
  <si>
    <t>Package Residency (%)</t>
  </si>
  <si>
    <t>PC0        PKG_Cstate</t>
  </si>
  <si>
    <t>PC2        PKG_Cstate</t>
  </si>
  <si>
    <t>PC6.1        PKG_Cstate</t>
  </si>
  <si>
    <t>PC6.2        PKG_Cstate</t>
  </si>
  <si>
    <t>PC10.1        PKG_Cstate</t>
  </si>
  <si>
    <t>PC10.2        PKG_Cstate</t>
  </si>
  <si>
    <t>PC10.3        PKG_Cstate</t>
  </si>
  <si>
    <t>C-State        Core_Cstate</t>
  </si>
  <si>
    <t>CC0</t>
  </si>
  <si>
    <t>Core_0 Residency (%)        Core_Cstate</t>
  </si>
  <si>
    <t>Core_1 Residency (%)        Core_Cstate</t>
  </si>
  <si>
    <t>Core_2 Residency (%)        Core_Cstate</t>
  </si>
  <si>
    <t>Core_3 Residency (%)        Core_Cstate</t>
  </si>
  <si>
    <t>Core_4 Residency (%)        Core_Cstate</t>
  </si>
  <si>
    <t>Core_5 Residency (%)        Core_Cstate</t>
  </si>
  <si>
    <t>Core_6 Residency (%)        Core_Cstate</t>
  </si>
  <si>
    <t>Core_7 Residency (%)        Core_Cstate</t>
  </si>
  <si>
    <t># Active Cores        Core_Concurrency</t>
  </si>
  <si>
    <t>Time Active (%)</t>
  </si>
  <si>
    <t>0        Core_Concurrency</t>
  </si>
  <si>
    <t>1        Core_Concurrency</t>
  </si>
  <si>
    <t>2        Core_Concurrency</t>
  </si>
  <si>
    <t>3        Core_Concurrency</t>
  </si>
  <si>
    <t>4        Core_Concurrency</t>
  </si>
  <si>
    <t>5        Core_Concurrency</t>
  </si>
  <si>
    <t>6        Core_Concurrency</t>
  </si>
  <si>
    <t>7        Core_Concurrency</t>
  </si>
  <si>
    <t>8        Core_Concurrency</t>
  </si>
  <si>
    <t>C-State        ACPI_Cstate</t>
  </si>
  <si>
    <t>ACPI C0</t>
  </si>
  <si>
    <t>Core_0 Residency (%)        ACPI_Cstate</t>
  </si>
  <si>
    <t>Core_1 Residency (%)        ACPI_Cstate</t>
  </si>
  <si>
    <t>Core_2 Residency (%)        ACPI_Cstate</t>
  </si>
  <si>
    <t>Core_3 Residency (%)        ACPI_Cstate</t>
  </si>
  <si>
    <t>Core_4 Residency (%)        ACPI_Cstate</t>
  </si>
  <si>
    <t>Core_5 Residency (%)        ACPI_Cstate</t>
  </si>
  <si>
    <t>Core_6 Residency (%)        ACPI_Cstate</t>
  </si>
  <si>
    <t>Core_7 Residency (%)        ACPI_Cstate</t>
  </si>
  <si>
    <t>OS_wakeups        OS_wakeups</t>
  </si>
  <si>
    <t>Process (CPU %)</t>
  </si>
  <si>
    <t>Rank        OS_wakeups</t>
  </si>
  <si>
    <t>Overall (46.46)</t>
  </si>
  <si>
    <t>Overall (46.64)</t>
  </si>
  <si>
    <t>Overall (69.05)</t>
  </si>
  <si>
    <t>1        OS_wakeups</t>
  </si>
  <si>
    <t>System (14.55)</t>
  </si>
  <si>
    <t>System (15.54)</t>
  </si>
  <si>
    <t>System (30.08)</t>
  </si>
  <si>
    <t>2        OS_wakeups</t>
  </si>
  <si>
    <t>msedge.exe (11.95)</t>
  </si>
  <si>
    <t>msedge.exe (11.24)</t>
  </si>
  <si>
    <t>msedge.exe (12.94)</t>
  </si>
  <si>
    <t>3        OS_wakeups</t>
  </si>
  <si>
    <t>ScreenUnderstandingIndexCreator.exe (7.03)</t>
  </si>
  <si>
    <t>ScreenUnderstandingIndexCreator.exe (6.82)</t>
  </si>
  <si>
    <t>msedge.exe (6.26)</t>
  </si>
  <si>
    <t>4        OS_wakeups</t>
  </si>
  <si>
    <t>msedge.exe (4.08)</t>
  </si>
  <si>
    <t>msedge.exe (4.24)</t>
  </si>
  <si>
    <t>svchost.exe (6.02)</t>
  </si>
  <si>
    <t>5        OS_wakeups</t>
  </si>
  <si>
    <t>msedge.exe (3.35)</t>
  </si>
  <si>
    <t>msedge.exe (3.34)</t>
  </si>
  <si>
    <t>msedge.exe (3.77)</t>
  </si>
  <si>
    <t>Concurrency        CPU-iGPU</t>
  </si>
  <si>
    <t>CPU/Package_0 Residency (%)</t>
  </si>
  <si>
    <t>Both        CPU-iGPU</t>
  </si>
  <si>
    <t>CPU Only        CPU-iGPU</t>
  </si>
  <si>
    <t>iGPU Only        CPU-iGPU</t>
  </si>
  <si>
    <t>Neither        CPU-iGPU</t>
  </si>
  <si>
    <t>CPU ID        CPU_Pavr</t>
  </si>
  <si>
    <t>Average (MHz)</t>
  </si>
  <si>
    <t>Core_0        CPU_Pavr</t>
  </si>
  <si>
    <t>Core_1        CPU_Pavr</t>
  </si>
  <si>
    <t>Core_2        CPU_Pavr</t>
  </si>
  <si>
    <t>Core_3        CPU_Pavr</t>
  </si>
  <si>
    <t>Core_4        CPU_Pavr</t>
  </si>
  <si>
    <t>Core_5        CPU_Pavr</t>
  </si>
  <si>
    <t>Core_6        CPU_Pavr</t>
  </si>
  <si>
    <t>Core_7        CPU_Pavr</t>
  </si>
  <si>
    <t>P-State        CPU_Pstate</t>
  </si>
  <si>
    <t>Core_0 LNC</t>
  </si>
  <si>
    <t>Core_1 LNC</t>
  </si>
  <si>
    <t>Core_2 LNC</t>
  </si>
  <si>
    <t>Core_3 LNC</t>
  </si>
  <si>
    <t>Core_4 SKT</t>
  </si>
  <si>
    <t>Core_5 SKT</t>
  </si>
  <si>
    <t>Core_6 SKT</t>
  </si>
  <si>
    <t>Core_7 SKT</t>
  </si>
  <si>
    <t>5001-5100        CPU_Pstate</t>
  </si>
  <si>
    <t>4901-5000        CPU_Pstate</t>
  </si>
  <si>
    <t>4801-4900        CPU_Pstate</t>
  </si>
  <si>
    <t>4701-4800        CPU_Pstate</t>
  </si>
  <si>
    <t>4601-4700        CPU_Pstate</t>
  </si>
  <si>
    <t>4501-4600        CPU_Pstate</t>
  </si>
  <si>
    <t>4401-4500        CPU_Pstate</t>
  </si>
  <si>
    <t>4301-4400        CPU_Pstate</t>
  </si>
  <si>
    <t>4201-4300        CPU_Pstate</t>
  </si>
  <si>
    <t>4101-4200        CPU_Pstate</t>
  </si>
  <si>
    <t>4001-4100        CPU_Pstate</t>
  </si>
  <si>
    <t>3901-4000        CPU_Pstate</t>
  </si>
  <si>
    <t>3801-3900        CPU_Pstate</t>
  </si>
  <si>
    <t>3701-3800        CPU_Pstate</t>
  </si>
  <si>
    <t>3601-3700        CPU_Pstate</t>
  </si>
  <si>
    <t>3501-3600        CPU_Pstate</t>
  </si>
  <si>
    <t>3401-3500        CPU_Pstate</t>
  </si>
  <si>
    <t>3301-3400        CPU_Pstate</t>
  </si>
  <si>
    <t>3201-3300        CPU_Pstate</t>
  </si>
  <si>
    <t>3101-3200        CPU_Pstate</t>
  </si>
  <si>
    <t>3001-3100        CPU_Pstate</t>
  </si>
  <si>
    <t>2901-3000        CPU_Pstate</t>
  </si>
  <si>
    <t>2801-2900        CPU_Pstate</t>
  </si>
  <si>
    <t>2701-2800        CPU_Pstate</t>
  </si>
  <si>
    <t>2601-2700        CPU_Pstate</t>
  </si>
  <si>
    <t>2501-2600        CPU_Pstate</t>
  </si>
  <si>
    <t>2401-2500        CPU_Pstate</t>
  </si>
  <si>
    <t>2301-2400        CPU_Pstate</t>
  </si>
  <si>
    <t>2201-2300        CPU_Pstate</t>
  </si>
  <si>
    <t>2101-2200        CPU_Pstate</t>
  </si>
  <si>
    <t>2001-2100        CPU_Pstate</t>
  </si>
  <si>
    <t>1901-2000        CPU_Pstate</t>
  </si>
  <si>
    <t>1801-1900        CPU_Pstate</t>
  </si>
  <si>
    <t>1701-1800        CPU_Pstate</t>
  </si>
  <si>
    <t>1601-1700        CPU_Pstate</t>
  </si>
  <si>
    <t>1501-1600        CPU_Pstate</t>
  </si>
  <si>
    <t>1401-1500        CPU_Pstate</t>
  </si>
  <si>
    <t>1301-1400        CPU_Pstate</t>
  </si>
  <si>
    <t>1201-1300        CPU_Pstate</t>
  </si>
  <si>
    <t>1101-1200        CPU_Pstate</t>
  </si>
  <si>
    <t>1001-1100        CPU_Pstate</t>
  </si>
  <si>
    <t>901-1000        CPU_Pstate</t>
  </si>
  <si>
    <t>801-900        CPU_Pstate</t>
  </si>
  <si>
    <t>701-800        CPU_Pstate</t>
  </si>
  <si>
    <t>601-700        CPU_Pstate</t>
  </si>
  <si>
    <t>501-600        CPU_Pstate</t>
  </si>
  <si>
    <t>401-500        CPU_Pstate</t>
  </si>
  <si>
    <t>&lt;= 400        CPU_Pstate</t>
  </si>
  <si>
    <t>0-idle        CPU_Pstate</t>
  </si>
  <si>
    <t>C-State        RC_Cstate</t>
  </si>
  <si>
    <t>iGPU/Graphics Residency (%)</t>
  </si>
  <si>
    <t>RC0        RC_Cstate</t>
  </si>
  <si>
    <t>RC6        RC_Cstate</t>
  </si>
  <si>
    <t>DDR_BW_AvrRt(MB/s)        DDR_BW</t>
  </si>
  <si>
    <t>IO_BW_AvrRt(MB/s)        IO_BW</t>
  </si>
  <si>
    <t>VC1_BW_AvrRt(MB/s)        VC1_BW</t>
  </si>
  <si>
    <t>NPU_BW_AvrRt(MB/s)        NPU_BW</t>
  </si>
  <si>
    <t>Media_BW_AvrRt(MB/s)        Media_BW</t>
  </si>
  <si>
    <t>IPU_BW_AvrRt(MB/s)        IPU_BW</t>
  </si>
  <si>
    <t>CCE_BW_AvrRt(MB/s)        CCE_BW</t>
  </si>
  <si>
    <t>GT_BW_AvrRt(MB/s)        GT_BW</t>
  </si>
  <si>
    <t>D2D_BW_AvrRt(MB/s)        D2D_BW</t>
  </si>
  <si>
    <t>CPU_temp        CPU_temp</t>
  </si>
  <si>
    <t>Time-weighted Avg (oC)</t>
  </si>
  <si>
    <t>Core_0        CPU_temp</t>
  </si>
  <si>
    <t>Core_1        CPU_temp</t>
  </si>
  <si>
    <t>Core_2        CPU_temp</t>
  </si>
  <si>
    <t>Core_3        CPU_temp</t>
  </si>
  <si>
    <t>Core_4        CPU_temp</t>
  </si>
  <si>
    <t>Core_5        CPU_temp</t>
  </si>
  <si>
    <t>Core_6        CPU_temp</t>
  </si>
  <si>
    <t>Core_7        CPU_temp</t>
  </si>
  <si>
    <t>SoC_temp        SoC_temp</t>
  </si>
  <si>
    <t>PCH        SoC_temp</t>
  </si>
  <si>
    <t>SA        SoC_temp</t>
  </si>
  <si>
    <t>IPU        SoC_temp</t>
  </si>
  <si>
    <t>DE        SoC_temp</t>
  </si>
  <si>
    <t>NPU        SoC_temp</t>
  </si>
  <si>
    <t>MEDIA        SoC_temp</t>
  </si>
  <si>
    <t>State        NPU_Dstate</t>
  </si>
  <si>
    <t>Residency (%)</t>
  </si>
  <si>
    <t>D0i3/D3        NPU_Dstate</t>
  </si>
  <si>
    <t>D0 Active        NPU_Dstate</t>
  </si>
  <si>
    <t>D0i2 Active        NPU_Dstate</t>
  </si>
  <si>
    <t>D0i2 Idle        NPU_Dstate</t>
  </si>
  <si>
    <t>Up to DC5 or DC6 enabled (sampled count)        DC_count</t>
  </si>
  <si>
    <t>Up to DC5 enabled (sampled count)        DC_count</t>
  </si>
  <si>
    <t>Up to DC6 (including DC5) enabled (sampled count)        DC_count</t>
  </si>
  <si>
    <t>DCx Clock-Off(DCxCO) state allowed by software        DC_count</t>
  </si>
  <si>
    <t>Do not allow</t>
  </si>
  <si>
    <t>C-State        Media_Cstate</t>
  </si>
  <si>
    <t>Media-C0        Media_Cstate</t>
  </si>
  <si>
    <t>Media C6        Media_Cstate</t>
  </si>
  <si>
    <t>Frequency (MHz)        NPU_Pstate</t>
  </si>
  <si>
    <t>NPU (%)</t>
  </si>
  <si>
    <t>0        NPU_Pstate</t>
  </si>
  <si>
    <t>1900        NPU_Pstate</t>
  </si>
  <si>
    <t>1901-2900        NPU_Pstate</t>
  </si>
  <si>
    <t>2901-3899        NPU_Pstate</t>
  </si>
  <si>
    <t>3900        NPU_Pstate</t>
  </si>
  <si>
    <t>Frequency (MHz)        MEMSS_Pstate</t>
  </si>
  <si>
    <t>MEMSS (%)</t>
  </si>
  <si>
    <t>594        MEMSS_Pstate</t>
  </si>
  <si>
    <t>1188        MEMSS_Pstate</t>
  </si>
  <si>
    <t>1584        MEMSS_Pstate</t>
  </si>
  <si>
    <t>2112        MEMSS_Pstate</t>
  </si>
  <si>
    <t>Frequency (MHz)        NoC_Pstate</t>
  </si>
  <si>
    <t>NOC (%)</t>
  </si>
  <si>
    <t>400        NoC_Pstate</t>
  </si>
  <si>
    <t>401-1049        NoC_Pstate</t>
  </si>
  <si>
    <t>1050        NoC_Pstate</t>
  </si>
  <si>
    <t>Frequency (MHz)        iGFX_Pstate</t>
  </si>
  <si>
    <t>IGFX (%)</t>
  </si>
  <si>
    <t>0        iGFX_Pstate</t>
  </si>
  <si>
    <t>400        iGFX_Pstate</t>
  </si>
  <si>
    <t>401-1799        iGFX_Pstate</t>
  </si>
  <si>
    <t>1800-1850        iGFX_Pstate</t>
  </si>
  <si>
    <t>1851-2049        iGFX_Pstate</t>
  </si>
  <si>
    <t>2050        iGFX_Pstate</t>
  </si>
  <si>
    <t>socwatch_path</t>
  </si>
  <si>
    <t>\\amr.corp.intel.com\EC\proj\pst\jf\SPA-Lab\Siwoo\CatapultV3\WW20.2_LNL32_CataV3_PC10.2\PC10.2_UHX\web_cataV3_si_008_spick\socwatch\PC10.2_UHX_web_cataV3_si.csv</t>
  </si>
  <si>
    <t>\\amr.corp.intel.com\EC\proj\pst\jf\SPA-Lab\Siwoo\CatapultV3\WW20.2_LNL32_CataV3_PC10.2\PC10.2_UHX_LCLT\web_cataV3_si_000_spick\socwatch\PC10.2_UHX_LCLT_web_cataV3_si.csv</t>
  </si>
  <si>
    <t>\\amr.corp.intel.com\EC\proj\pst\jf\SPA-Lab\Siwoo\CatapultV3\WW2533.2_CataV3ITCCAUHX2_DCBAL\UHX2_DC_009\socwatch\CataV3_noLC_009.csv</t>
  </si>
  <si>
    <t>Device Name (Root Port - End Point)_NVM        PCIe_LPM</t>
  </si>
  <si>
    <t>PCI Express Root Port(0:28:0) - Standard NVM Express Controller(127:0:0)</t>
  </si>
  <si>
    <t>L0 (%)_NVM        PCIe_LPM</t>
  </si>
  <si>
    <t>L0s (%)_NVM        PCIe_LPM</t>
  </si>
  <si>
    <t>L0s Tx (%)_NVM        PCIe_LPM</t>
  </si>
  <si>
    <t>L0s Rx (%)_NVM        PCIe_LPM</t>
  </si>
  <si>
    <t>L1 (%)_NVM        PCIe_LPM</t>
  </si>
  <si>
    <t>L1.1 (%)_NVM        PCIe_LPM</t>
  </si>
  <si>
    <t>L1.2 (%)_NVM        PCIe_LPM</t>
  </si>
  <si>
    <t>L2 (%)_NVM        PCIe_LPM</t>
  </si>
  <si>
    <t>L3 (%)_NVM        PCIe_LPM</t>
  </si>
  <si>
    <t>Down (%)_NVM        PCIe_LPM</t>
  </si>
  <si>
    <t>Retrain (%)_NVM        PCIe_LPM</t>
  </si>
  <si>
    <t>Other (%)_NVM        PCIe_LPM</t>
  </si>
  <si>
    <t>Device Name (Root Port - End Point)_NVM        PCIe_Active</t>
  </si>
  <si>
    <t>Active (Gen1: 2.5 GT/s) (%)_NVM        PCIe_Active</t>
  </si>
  <si>
    <t>Active (Gen2: 5 GT/s) (%)_NVM        PCIe_Active</t>
  </si>
  <si>
    <t>Active (Gen3: 8 GT/s) (%)_NVM        PCIe_Active</t>
  </si>
  <si>
    <t>Active (Gen4: 16 GT/s) (%)_NVM        PCIe_Active</t>
  </si>
  <si>
    <t>Active (Gen5: 32 GT/s) (%)_NVM        PCIe_Active</t>
  </si>
  <si>
    <t>Active (Gen6: 64 GT/s) (%)_NVM        PCIe_Active</t>
  </si>
  <si>
    <t>Active (Gen7: 128 GT/s) (%)_NVM        PCIe_Active</t>
  </si>
  <si>
    <t>Active Idle (%)_NVM        PCIe_Active</t>
  </si>
  <si>
    <t>Inactive (%)_NVM        PCIe_Active</t>
  </si>
  <si>
    <t>Device Name (Root Port - End Point)_NVM        PCIe_LTRsnoop</t>
  </si>
  <si>
    <t>&lt;=40us(%)_NVM        PCIe_LTRsnoop</t>
  </si>
  <si>
    <t>&lt;=60us(%)_NVM        PCIe_LTRsnoop</t>
  </si>
  <si>
    <t>&lt;=110us(%)_NVM        PCIe_LTRsnoop</t>
  </si>
  <si>
    <t>&lt;=150us(%)_NVM        PCIe_LTRsnoop</t>
  </si>
  <si>
    <t>&lt;=250us(%)_NVM        PCIe_LTRsnoop</t>
  </si>
  <si>
    <t>&lt;=350us(%)_NVM        PCIe_LTRsnoop</t>
  </si>
  <si>
    <t>&lt;=500us(%)_NVM        PCIe_LTRsnoop</t>
  </si>
  <si>
    <t>&lt;=750us(%)_NVM        PCIe_LTRsnoop</t>
  </si>
  <si>
    <t>&lt;=1ms(%)_NVM        PCIe_LTRsnoop</t>
  </si>
  <si>
    <t>&lt;=3ms(%)_NVM        PCIe_LTRsnoop</t>
  </si>
  <si>
    <t>3ms&lt;(%)_NVM        PCIe_LTRsnoop</t>
  </si>
  <si>
    <t>No Req(%)_NVM        PCIe_LTRsnoop</t>
  </si>
  <si>
    <t>pcie_socwatch_path</t>
  </si>
  <si>
    <t>\\amr.corp.intel.com\EC\proj\pst\jf\SPA-Lab\Siwoo\CatapultV3\WW20.2_LNL32_CataV3_PC10.2\PCIe_only_Socwatch\UHX_baseline\web_cataV3_si_002_pick\socwatch\web_cataV3_si_CataV3_UHX.csv</t>
  </si>
  <si>
    <t>\\amr.corp.intel.com\EC\proj\pst\jf\SPA-Lab\Siwoo\CatapultV3\WW20.2_LNL32_CataV3_PC10.2\PCIe_only_Socwatch\UHX_LCLT\web_cataV3_si_000_pick\socwatch\web_cataV3_si_CataV3_UXH_LCLT.csv</t>
  </si>
  <si>
    <t>\\amr.corp.intel.com\EC\proj\pst\jf\SPA-Lab\Siwoo\CatapultV3\WW2533.2_CataV3ITCCAUHX2_DCBAL\UHX2_DC_007\sowatch\CataV3_noLC_007.csv</t>
  </si>
  <si>
    <t>PCH SLP-S0 States        PCH_SLP50</t>
  </si>
  <si>
    <t>PCH Residency (%)</t>
  </si>
  <si>
    <t>Not in SLP-S0        PCH_SLP50</t>
  </si>
  <si>
    <t>SLP-S0        PCH_SLP50</t>
  </si>
  <si>
    <t>State        S0ix_Substate</t>
  </si>
  <si>
    <t>s0i2.0        S0ix_Substate</t>
  </si>
  <si>
    <t>s0i2.1        S0ix_Substate</t>
  </si>
  <si>
    <t>s0i2.2        S0ix_Substate</t>
  </si>
  <si>
    <t>PCH IP Blocks        PMC+SLP_S0</t>
  </si>
  <si>
    <t>Active (%)</t>
  </si>
  <si>
    <t>PMC        PMC+SLP_S0</t>
  </si>
  <si>
    <t>CSME-HF        PMC+SLP_S0</t>
  </si>
  <si>
    <t>CSME-LF        PMC+SLP_S0</t>
  </si>
  <si>
    <t>ESE-HF        PMC+SLP_S0</t>
  </si>
  <si>
    <t>ESE-LF        PMC+SLP_S0</t>
  </si>
  <si>
    <t>OSSE-HF        PMC+SLP_S0</t>
  </si>
  <si>
    <t>OSSE-LF        PMC+SLP_S0</t>
  </si>
  <si>
    <t>PSF4        PMC+SLP_S0</t>
  </si>
  <si>
    <t>PSF6        PMC+SLP_S0</t>
  </si>
  <si>
    <t>PSF7        PMC+SLP_S0</t>
  </si>
  <si>
    <t>PSF8        PMC+SLP_S0</t>
  </si>
  <si>
    <t>DBG-PSF-ACT        PMC+SLP_S0</t>
  </si>
  <si>
    <t>CSMEPSF-ACT        PMC+SLP_S0</t>
  </si>
  <si>
    <t>IPU-CPHY-A        PMC+SLP_S0</t>
  </si>
  <si>
    <t>IPU-DPHY-A        PMC+SLP_S0</t>
  </si>
  <si>
    <t>IPU-CPHY-B        PMC+SLP_S0</t>
  </si>
  <si>
    <t>IPU-DPHY-B        PMC+SLP_S0</t>
  </si>
  <si>
    <t>IPU-CPHY-C        PMC+SLP_S0</t>
  </si>
  <si>
    <t>IPU-DPHY-C        PMC+SLP_S0</t>
  </si>
  <si>
    <t>IPU-CPHY-D        PMC+SLP_S0</t>
  </si>
  <si>
    <t>IPU-DPHY-D        PMC+SLP_S0</t>
  </si>
  <si>
    <t>THC0        PMC+SLP_S0</t>
  </si>
  <si>
    <t>THC1        PMC+SLP_S0</t>
  </si>
  <si>
    <t>D2D-DISP-DDI        PMC+SLP_S0</t>
  </si>
  <si>
    <t>D2D-DISP-EDP        PMC+SLP_S0</t>
  </si>
  <si>
    <t>D2D-IPU        PMC+SLP_S0</t>
  </si>
  <si>
    <t>D2D-NOC-GPSB        PMC+SLP_S0</t>
  </si>
  <si>
    <t>UFSX2-VAL        PMC+SLP_S0</t>
  </si>
  <si>
    <t>UFSX2-IDLE        PMC+SLP_S0</t>
  </si>
  <si>
    <t>LPSS        PMC+SLP_S0</t>
  </si>
  <si>
    <t>GBE-ACTIVE        PMC+SLP_S0</t>
  </si>
  <si>
    <t>ISCLK-REF-PLL        PMC+SLP_S0</t>
  </si>
  <si>
    <t>ISCLK-XTAL        PMC+SLP_S0</t>
  </si>
  <si>
    <t>ISCLK-FILTER-PLL        PMC+SLP_S0</t>
  </si>
  <si>
    <t>ISCLK-RTC-PLL        PMC+SLP_S0</t>
  </si>
  <si>
    <t>ISCLK-FABRIC-PLL        PMC+SLP_S0</t>
  </si>
  <si>
    <t>ISCLK-SOC-PLL        PMC+SLP_S0</t>
  </si>
  <si>
    <t>ISCLK-ACE-PLL        PMC+SLP_S0</t>
  </si>
  <si>
    <t>ISCLK-IMG-PLL        PMC+SLP_S0</t>
  </si>
  <si>
    <t>ISCLK-SE-TCSS-PLL        PMC+SLP_S0</t>
  </si>
  <si>
    <t>ISCLK-DDI-PLL        PMC+SLP_S0</t>
  </si>
  <si>
    <t>ISCLK-SAF-PLL        PMC+SLP_S0</t>
  </si>
  <si>
    <t>HSIO-MPFPW1-0-PLLA        PMC+SLP_S0</t>
  </si>
  <si>
    <t>HSIO-MPFPW1-0-PLLB        PMC+SLP_S0</t>
  </si>
  <si>
    <t>HSIO-G5FPW-1-PLLA        PMC+SLP_S0</t>
  </si>
  <si>
    <t>HSIO-G5FPW-1-PLLB        PMC+SLP_S0</t>
  </si>
  <si>
    <t>HSIO-USB3-PLL        PMC+SLP_S0</t>
  </si>
  <si>
    <t>HSIO-USB2-PLL        PMC+SLP_S0</t>
  </si>
  <si>
    <t>EDP-PHY-PLL        PMC+SLP_S0</t>
  </si>
  <si>
    <t>ICC-CLKOUT-DBUFF-SRC-0        PMC+SLP_S0</t>
  </si>
  <si>
    <t>ICC-CLKOUT-DBUFF-SRC-1        PMC+SLP_S0</t>
  </si>
  <si>
    <t>ICC-CLKOUT-DBUFF-SRC-2        PMC+SLP_S0</t>
  </si>
  <si>
    <t>ICC-CLKOUT-DBUFF-SRC-3        PMC+SLP_S0</t>
  </si>
  <si>
    <t>ICC-CLKOUT-DBUFF-SRC-4        PMC+SLP_S0</t>
  </si>
  <si>
    <t>ICC-CLKOUT-DBUFF-SRC-5        PMC+SLP_S0</t>
  </si>
  <si>
    <t>ICC-CLKOUT-DBUFF-IMGCLKOUT-0        PMC+SLP_S0</t>
  </si>
  <si>
    <t>ICC-CLKOUT-DBUFF-IMGCLKOUT-1        PMC+SLP_S0</t>
  </si>
  <si>
    <t>ICC-CLKOUT-DBUFF-IMGCLKOUT-2        PMC+SLP_S0</t>
  </si>
  <si>
    <t>ICC-CLKOUT-DBUFF-IMGCLKOUT-3        PMC+SLP_S0</t>
  </si>
  <si>
    <t>USB2-TXRX-BIAS-0        PMC+SLP_S0</t>
  </si>
  <si>
    <t>USB2-TXRX-BIAS-1        PMC+SLP_S0</t>
  </si>
  <si>
    <t>USB2-TXRX-BIAS-2        PMC+SLP_S0</t>
  </si>
  <si>
    <t>USB2-TXRX-BIAS-3        PMC+SLP_S0</t>
  </si>
  <si>
    <t>USB2-TXRX-BIAS-4        PMC+SLP_S0</t>
  </si>
  <si>
    <t>USB2-TXRX-BIAS-5        PMC+SLP_S0</t>
  </si>
  <si>
    <t>ISH-MIA-HALTED        PMC+SLP_S0</t>
  </si>
  <si>
    <t>HPDSP-CORE0-HF        PMC+SLP_S0</t>
  </si>
  <si>
    <t>HPDSP-CORE0-MF        PMC+SLP_S0</t>
  </si>
  <si>
    <t>HPDSP-CORE0-LF        PMC+SLP_S0</t>
  </si>
  <si>
    <t>HPDSP-CORE1-HF        PMC+SLP_S0</t>
  </si>
  <si>
    <t>HPDSP-CORE1-MF        PMC+SLP_S0</t>
  </si>
  <si>
    <t>HPDSP-CORE1-LF        PMC+SLP_S0</t>
  </si>
  <si>
    <t>HPDSP-CORE2-HF        PMC+SLP_S0</t>
  </si>
  <si>
    <t>HPDSP-CORE2-MF        PMC+SLP_S0</t>
  </si>
  <si>
    <t>HPDSP-CORE2-LF        PMC+SLP_S0</t>
  </si>
  <si>
    <t>HPDSP-CORE3-HF        PMC+SLP_S0</t>
  </si>
  <si>
    <t>HPDSP-CORE3-MF        PMC+SLP_S0</t>
  </si>
  <si>
    <t>HPDSP-CORE3-LF        PMC+SLP_S0</t>
  </si>
  <si>
    <t>HPDSP-CORE4-HF        PMC+SLP_S0</t>
  </si>
  <si>
    <t>HPDSP-CORE4-MF        PMC+SLP_S0</t>
  </si>
  <si>
    <t>HPDSP-CORE4-LF        PMC+SLP_S0</t>
  </si>
  <si>
    <t>HPFBR-HF        PMC+SLP_S0</t>
  </si>
  <si>
    <t>HPFBR-MF        PMC+SLP_S0</t>
  </si>
  <si>
    <t>HPFBR-LF        PMC+SLP_S0</t>
  </si>
  <si>
    <t>ULPFBR-CORE-HF        PMC+SLP_S0</t>
  </si>
  <si>
    <t>ULPFBR-CORE-MF        PMC+SLP_S0</t>
  </si>
  <si>
    <t>ULPFBR-CORE-LF        PMC+SLP_S0</t>
  </si>
  <si>
    <t>ANNA-HF        PMC+SLP_S0</t>
  </si>
  <si>
    <t>ANNA-MF        PMC+SLP_S0</t>
  </si>
  <si>
    <t>ANNA-LF        PMC+SLP_S0</t>
  </si>
  <si>
    <t>VIS        PMC+SLP_S0</t>
  </si>
  <si>
    <t>CNVI-0        PMC+SLP_S0</t>
  </si>
  <si>
    <t>CNVI-1        PMC+SLP_S0</t>
  </si>
  <si>
    <t>CNVI-2        PMC+SLP_S0</t>
  </si>
  <si>
    <t>CNVI-3        PMC+SLP_S0</t>
  </si>
  <si>
    <t>CNVI-4        PMC+SLP_S0</t>
  </si>
  <si>
    <t>CNVI-5        PMC+SLP_S0</t>
  </si>
  <si>
    <t>CNVI-6        PMC+SLP_S0</t>
  </si>
  <si>
    <t>CNVI-7        PMC+SLP_S0</t>
  </si>
  <si>
    <t>CNVI-8        PMC+SLP_S0</t>
  </si>
  <si>
    <t>CNVI-9        PMC+SLP_S0</t>
  </si>
  <si>
    <t>CNVI-10        PMC+SLP_S0</t>
  </si>
  <si>
    <t>CNVI-11        PMC+SLP_S0</t>
  </si>
  <si>
    <t>CNVI-12        PMC+SLP_S0</t>
  </si>
  <si>
    <t>CNVI-13        PMC+SLP_S0</t>
  </si>
  <si>
    <t>CNVI-14        PMC+SLP_S0</t>
  </si>
  <si>
    <t>CNVI-15        PMC+SLP_S0</t>
  </si>
  <si>
    <t>CNVI-16        PMC+SLP_S0</t>
  </si>
  <si>
    <t>CNVI-18        PMC+SLP_S0</t>
  </si>
  <si>
    <t>XHCI-PG        PMC+SLP_S0</t>
  </si>
  <si>
    <t>XDCI-PG        PMC+SLP_S0</t>
  </si>
  <si>
    <t>PSF0        PMC+SLP_S0</t>
  </si>
  <si>
    <t>D2D-NOC-CFI        PMC+SLP_S0</t>
  </si>
  <si>
    <t>MPHY-L0-TXON-RXON        PMC+SLP_S0</t>
  </si>
  <si>
    <t>MPHY-L0-TXON-RXOFF        PMC+SLP_S0</t>
  </si>
  <si>
    <t>MPHY-L0-TXOFF-RXON        PMC+SLP_S0</t>
  </si>
  <si>
    <t>MPHY-L0-TXOFF-RXOFF        PMC+SLP_S0</t>
  </si>
  <si>
    <t>MPHY-L1-TXON-RXON        PMC+SLP_S0</t>
  </si>
  <si>
    <t>MPHY-L1-TXON-RXOFF        PMC+SLP_S0</t>
  </si>
  <si>
    <t>MPHY-L1-TXOFF-RXON        PMC+SLP_S0</t>
  </si>
  <si>
    <t>MPHY-L1-TXOFF-RXOFF        PMC+SLP_S0</t>
  </si>
  <si>
    <t>MPHY-L2-TXON-RXON        PMC+SLP_S0</t>
  </si>
  <si>
    <t>MPHY-L2-TXON-RXOFF        PMC+SLP_S0</t>
  </si>
  <si>
    <t>MPHY-L2-TXOFF-RXON        PMC+SLP_S0</t>
  </si>
  <si>
    <t>MPHY-L2-TXOFF-RXOFF        PMC+SLP_S0</t>
  </si>
  <si>
    <t>MPHY-L3-TXON-RXON        PMC+SLP_S0</t>
  </si>
  <si>
    <t>MPHY-L3-TXON-RXOFF        PMC+SLP_S0</t>
  </si>
  <si>
    <t>MPHY-L3-TXOFF-RXON        PMC+SLP_S0</t>
  </si>
  <si>
    <t>MPHY-L3-TXOFF-RXOFF        PMC+SLP_S0</t>
  </si>
  <si>
    <t>MPHY-L4-TXON-RXON        PMC+SLP_S0</t>
  </si>
  <si>
    <t>MPHY-L4-TXON-RXOFF        PMC+SLP_S0</t>
  </si>
  <si>
    <t>MPHY-L4-TXOFF-RXON        PMC+SLP_S0</t>
  </si>
  <si>
    <t>MPHY-L4-TXOFF-RXOFF        PMC+SLP_S0</t>
  </si>
  <si>
    <t>MPHY-L5-TXON-RXON        PMC+SLP_S0</t>
  </si>
  <si>
    <t>MPHY-L5-TXON-RXOFF        PMC+SLP_S0</t>
  </si>
  <si>
    <t>MPHY-L5-TXOFF-RXON        PMC+SLP_S0</t>
  </si>
  <si>
    <t>MPHY-L5-TXOFF-RXOFF        PMC+SLP_S0</t>
  </si>
  <si>
    <t>MPHY-L6-TXON-RXON        PMC+SLP_S0</t>
  </si>
  <si>
    <t>MPHY-L6-TXON-RXOFF        PMC+SLP_S0</t>
  </si>
  <si>
    <t>MPHY-L6-TXOFF-RXON        PMC+SLP_S0</t>
  </si>
  <si>
    <t>MPHY-L6-TXOFF-RXOFF        PMC+SLP_S0</t>
  </si>
  <si>
    <t>MPHY-L7-TXON-RXON        PMC+SLP_S0</t>
  </si>
  <si>
    <t>MPHY-L7-TXON-RXOFF        PMC+SLP_S0</t>
  </si>
  <si>
    <t>MPHY-L7-TXOFF-RXON        PMC+SLP_S0</t>
  </si>
  <si>
    <t>MPHY-L7-TXOFF-RXOFF        PMC+SLP_S0</t>
  </si>
  <si>
    <t>MPHY-L8-TXON-RXON        PMC+SLP_S0</t>
  </si>
  <si>
    <t>MPHY-L8-TXON-RXOFF        PMC+SLP_S0</t>
  </si>
  <si>
    <t>MPHY-L8-TXOFF-RXON        PMC+SLP_S0</t>
  </si>
  <si>
    <t>MPHY-L8-TXOFF-RXOFF        PMC+SLP_S0</t>
  </si>
  <si>
    <t>MPHY-L9-TXON-RXON        PMC+SLP_S0</t>
  </si>
  <si>
    <t>MPHY-L9-TXON-RXOFF        PMC+SLP_S0</t>
  </si>
  <si>
    <t>MPHY-L9-TXOFF-RXON        PMC+SLP_S0</t>
  </si>
  <si>
    <t>MPHY-L9-TXOFF-RXOFF        PMC+SLP_S0</t>
  </si>
  <si>
    <t>MPHY-L10-TXON-RXON        PMC+SLP_S0</t>
  </si>
  <si>
    <t>MPHY-L10-TXON-RXOFF        PMC+SLP_S0</t>
  </si>
  <si>
    <t>MPHY-L10-TXOFF-RXON        PMC+SLP_S0</t>
  </si>
  <si>
    <t>MPHY-L10-TXOFF-RXOFF        PMC+SLP_S0</t>
  </si>
  <si>
    <t>MPHY-L11-TXON-RXON        PMC+SLP_S0</t>
  </si>
  <si>
    <t>MPHY-L11-TXON-RXOFF        PMC+SLP_S0</t>
  </si>
  <si>
    <t>MPHY-L11-TXOFF-RXON        PMC+SLP_S0</t>
  </si>
  <si>
    <t>MPHY-L11-TXOFF-RXOFF        PMC+SLP_S0</t>
  </si>
  <si>
    <t>MPHY-L12-TXON-RXON        PMC+SLP_S0</t>
  </si>
  <si>
    <t>MPHY-L12-TXON-RXOFF        PMC+SLP_S0</t>
  </si>
  <si>
    <t>MPHY-L12-TXOFF-RXON        PMC+SLP_S0</t>
  </si>
  <si>
    <t>MPHY-L12-TXOFF-RXOFF        PMC+SLP_S0</t>
  </si>
  <si>
    <t>MPHY-L13-TXON-RXON        PMC+SLP_S0</t>
  </si>
  <si>
    <t>MPHY-L13-TXON-RXOFF        PMC+SLP_S0</t>
  </si>
  <si>
    <t>MPHY-L13-TXOFF-RXON        PMC+SLP_S0</t>
  </si>
  <si>
    <t>MPHY-L13-TXOFF-RXOFF        PMC+SLP_S0</t>
  </si>
  <si>
    <t>MPHY-L14-TXON-RXON        PMC+SLP_S0</t>
  </si>
  <si>
    <t>MPHY-L14-TXON-RXOFF        PMC+SLP_S0</t>
  </si>
  <si>
    <t>MPHY-L14-TXOFF-RXON        PMC+SLP_S0</t>
  </si>
  <si>
    <t>MPHY-L14-TXOFF-RXOFF        PMC+SLP_S0</t>
  </si>
  <si>
    <t>PGD-CNVI-0        PMC+SLP_S0</t>
  </si>
  <si>
    <t>PGD-UFSX2-0        PMC+SLP_S0</t>
  </si>
  <si>
    <t>PGD-GBE-0        PMC+SLP_S0</t>
  </si>
  <si>
    <t>PGD-ISH-0        PMC+SLP_S0</t>
  </si>
  <si>
    <t>PGD-ESPISPI-0        PMC+SLP_S0</t>
  </si>
  <si>
    <t>PGD-SBR8B0-0        PMC+SLP_S0</t>
  </si>
  <si>
    <t>PGD-SBR8B1-0        PMC+SLP_S0</t>
  </si>
  <si>
    <t>PGD-SBR8B2-0        PMC+SLP_S0</t>
  </si>
  <si>
    <t>PGD-SBR8B3-0        PMC+SLP_S0</t>
  </si>
  <si>
    <t>PGD-DBG-SBR-0        PMC+SLP_S0</t>
  </si>
  <si>
    <t>PGD-SBR8B5-0        PMC+SLP_S0</t>
  </si>
  <si>
    <t>PGD-SBR8B6-0        PMC+SLP_S0</t>
  </si>
  <si>
    <t>PGD-SBR8B7-0        PMC+SLP_S0</t>
  </si>
  <si>
    <t>PGD-SBR8B8-0        PMC+SLP_S0</t>
  </si>
  <si>
    <t>PGD-SBR8B9-0        PMC+SLP_S0</t>
  </si>
  <si>
    <t>PGD-SBR8B10-0        PMC+SLP_S0</t>
  </si>
  <si>
    <t>PGD-SBR16B0-0        PMC+SLP_S0</t>
  </si>
  <si>
    <t>PGD-SBR16B1-0        PMC+SLP_S0</t>
  </si>
  <si>
    <t>PGD-SBR16B2-0        PMC+SLP_S0</t>
  </si>
  <si>
    <t>PGD-SBR16B3-0        PMC+SLP_S0</t>
  </si>
  <si>
    <t>PGD-SBR16B4-0        PMC+SLP_S0</t>
  </si>
  <si>
    <t>PGD-SBRG-0        PMC+SLP_S0</t>
  </si>
  <si>
    <t>PGD-THC0-0        PMC+SLP_S0</t>
  </si>
  <si>
    <t>PGD-THC1-0        PMC+SLP_S0</t>
  </si>
  <si>
    <t>PGD-TBTLSX-0        PMC+SLP_S0</t>
  </si>
  <si>
    <t>PGD-LPSS-0        PMC+SLP_S0</t>
  </si>
  <si>
    <t>PGD-PMC-1        PMC+SLP_S0</t>
  </si>
  <si>
    <t>PGD-FUSE-0        PMC+SLP_S0</t>
  </si>
  <si>
    <t>PGD-PSF0-0        PMC+SLP_S0</t>
  </si>
  <si>
    <t>PGD-PSF4-0        PMC+SLP_S0</t>
  </si>
  <si>
    <t>PGD-PSF6-0        PMC+SLP_S0</t>
  </si>
  <si>
    <t>PGD-PSF7-0        PMC+SLP_S0</t>
  </si>
  <si>
    <t>PGD-PSF8-0        PMC+SLP_S0</t>
  </si>
  <si>
    <t>TCSS-PSF11-PGD        PMC+SLP_S0</t>
  </si>
  <si>
    <t>TCSS-PSF12-PGD        PMC+SLP_S0</t>
  </si>
  <si>
    <t>TCSS-IOMMAING-PGD        PMC+SLP_S0</t>
  </si>
  <si>
    <t>TCSS-IOMAONG-PGD        PMC+SLP_S0</t>
  </si>
  <si>
    <t>TCSS-PCIE1-PGD        PMC+SLP_S0</t>
  </si>
  <si>
    <t>TCSS-PCIE2-PGD        PMC+SLP_S0</t>
  </si>
  <si>
    <t>TCSS-PCIE3-PGD        PMC+SLP_S0</t>
  </si>
  <si>
    <t>TCSS-TBT1-PGD        PMC+SLP_S0</t>
  </si>
  <si>
    <t>TCSS-TBT2-PGD        PMC+SLP_S0</t>
  </si>
  <si>
    <t>TCSS-XHCI-PGD        PMC+SLP_S0</t>
  </si>
  <si>
    <t>TCSS-XDCI-PGD        PMC+SLP_S0</t>
  </si>
  <si>
    <t>TCSS-VCCSTTPC-PGD        PMC+SLP_S0</t>
  </si>
  <si>
    <t>TCSS-VCCTPC-PGD        PMC+SLP_S0</t>
  </si>
  <si>
    <t>PGD-DBG-PSF-0        PMC+SLP_S0</t>
  </si>
  <si>
    <t>PGD-CSMEPSF-0        PMC+SLP_S0</t>
  </si>
  <si>
    <t>PGD-6-CSMEB1        PMC+SLP_S0</t>
  </si>
  <si>
    <t>PGD-7-CSMEB2        PMC+SLP_S0</t>
  </si>
  <si>
    <t>PGD-CSE-0        PMC+SLP_S0</t>
  </si>
  <si>
    <t>PGD-SPA-0        PMC+SLP_S0</t>
  </si>
  <si>
    <t>PGD-SPB-0        PMC+SLP_S0</t>
  </si>
  <si>
    <t>PGD-ESE-0        PMC+SLP_S0</t>
  </si>
  <si>
    <t>PGD-UFSPW1-0        PMC+SLP_S0</t>
  </si>
  <si>
    <t>PGD-U3FPW1-0        PMC+SLP_S0</t>
  </si>
  <si>
    <t>PGD-XDCI-0        PMC+SLP_S0</t>
  </si>
  <si>
    <t>PGD-XHCI-0        PMC+SLP_S0</t>
  </si>
  <si>
    <t>PGD-ACE-0        PMC+SLP_S0</t>
  </si>
  <si>
    <t>PGD-ACE-1        PMC+SLP_S0</t>
  </si>
  <si>
    <t>PGD-ACE-2        PMC+SLP_S0</t>
  </si>
  <si>
    <t>PGD-ACE-3        PMC+SLP_S0</t>
  </si>
  <si>
    <t>PGD-ACE-4        PMC+SLP_S0</t>
  </si>
  <si>
    <t>PGD-ACE-5        PMC+SLP_S0</t>
  </si>
  <si>
    <t>PGD-ACE-6        PMC+SLP_S0</t>
  </si>
  <si>
    <t>PGD-ACE-7        PMC+SLP_S0</t>
  </si>
  <si>
    <t>PGD-ACE-8        PMC+SLP_S0</t>
  </si>
  <si>
    <t>PGD-ACE-9        PMC+SLP_S0</t>
  </si>
  <si>
    <t>PGD-ACE-10        PMC+SLP_S0</t>
  </si>
  <si>
    <t>PGD-OSSE-HOTHAM-0        PMC+SLP_S0</t>
  </si>
  <si>
    <t>PGD-OSSE-SMT1-0        PMC+SLP_S0</t>
  </si>
  <si>
    <t>PGD-OSSE-0        PMC+SLP_S0</t>
  </si>
  <si>
    <t>IPU-PGD        PMC+SLP_S0</t>
  </si>
  <si>
    <t>PGD-DISP-PGA-0        PMC+SLP_S0</t>
  </si>
  <si>
    <t>PGD-MPFPW1-0        PMC+SLP_S0</t>
  </si>
  <si>
    <t>PGD-G5FPW1-0        PMC+SLP_S0</t>
  </si>
  <si>
    <t>TCSS-USB4PHY1-PGD        PMC+SLP_S0</t>
  </si>
  <si>
    <t>TCSS-USB4PHY2-PGD        PMC+SLP_S0</t>
  </si>
  <si>
    <t>TCSS-USB4PHY3-PGD        PMC+SLP_S0</t>
  </si>
  <si>
    <t>PGD-ISCLK        PMC+SLP_S0</t>
  </si>
  <si>
    <t>Not Received(%)_NVM        PCIe_LTRsnoop</t>
  </si>
  <si>
    <t>CataV3+IT+BG+UHX2(10s)</t>
  </si>
  <si>
    <t>LCLT impact(J-B)</t>
  </si>
  <si>
    <t>UHX1LC - UHX1</t>
  </si>
  <si>
    <t>Delta</t>
  </si>
  <si>
    <t>TTL Catapult V3 + AI Progression</t>
  </si>
  <si>
    <r>
      <t>CataV3+IT+BG+UHX2+</t>
    </r>
    <r>
      <rPr>
        <b/>
        <sz val="11"/>
        <color rgb="FFFF0000"/>
        <rFont val="Calibri"/>
        <family val="2"/>
        <scheme val="minor"/>
      </rPr>
      <t>LC</t>
    </r>
  </si>
  <si>
    <t>Media Residency (%)</t>
  </si>
  <si>
    <t>All BW</t>
  </si>
  <si>
    <t>DLRM issue on IT</t>
  </si>
  <si>
    <t>NPU Dstate Residency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</si>
</sst>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3" xfId="0" applyBorder="1"/>
    <xf numFmtId="0" fontId="1" fillId="0" borderId="4" xfId="0" applyFont="1" applyBorder="1" applyAlignment="1">
      <alignment horizontal="center" vertical="top"/>
    </xf>
    <xf numFmtId="0" fontId="0" fillId="0" borderId="5" xfId="0" applyBorder="1"/>
    <xf numFmtId="0" fontId="2" fillId="0" borderId="3" xfId="0" applyFont="1" applyBorder="1"/>
    <xf numFmtId="166" fontId="0" fillId="0" borderId="0" xfId="0" applyNumberFormat="1"/>
    <xf numFmtId="166" fontId="0" fillId="0" borderId="3" xfId="0" applyNumberFormat="1" applyBorder="1"/>
    <xf numFmtId="0" fontId="3" fillId="0" borderId="1" xfId="0" applyFont="1" applyBorder="1" applyAlignment="1">
      <alignment horizontal="center" vertical="top"/>
    </xf>
    <xf numFmtId="0" fontId="4" fillId="0" borderId="6" xfId="0" applyFont="1" applyBorder="1"/>
    <xf numFmtId="166" fontId="4" fillId="0" borderId="6" xfId="0" applyNumberFormat="1" applyFont="1" applyBorder="1"/>
    <xf numFmtId="0" fontId="2" fillId="0" borderId="6" xfId="0" applyFont="1" applyBorder="1"/>
    <xf numFmtId="0" fontId="0" fillId="0" borderId="6" xfId="0" applyBorder="1"/>
    <xf numFmtId="0" fontId="2" fillId="2" borderId="6" xfId="0" applyFont="1" applyFill="1" applyBorder="1"/>
    <xf numFmtId="166" fontId="6" fillId="0" borderId="6" xfId="0" applyNumberFormat="1" applyFont="1" applyBorder="1"/>
    <xf numFmtId="2" fontId="6" fillId="0" borderId="6" xfId="0" applyNumberFormat="1" applyFont="1" applyBorder="1"/>
    <xf numFmtId="1" fontId="6" fillId="0" borderId="6" xfId="0" applyNumberFormat="1" applyFont="1" applyBorder="1"/>
    <xf numFmtId="0" fontId="0" fillId="3" borderId="0" xfId="0" applyFill="1"/>
    <xf numFmtId="2" fontId="6" fillId="3" borderId="6" xfId="0" applyNumberFormat="1" applyFont="1" applyFill="1" applyBorder="1"/>
    <xf numFmtId="0" fontId="4" fillId="0" borderId="3" xfId="0" applyFont="1" applyBorder="1"/>
    <xf numFmtId="0" fontId="0" fillId="0" borderId="0" xfId="0" applyBorder="1"/>
    <xf numFmtId="0" fontId="0" fillId="3" borderId="3" xfId="0" applyFill="1" applyBorder="1"/>
    <xf numFmtId="0" fontId="0" fillId="3" borderId="0" xfId="0" applyFill="1" applyBorder="1"/>
    <xf numFmtId="0" fontId="1" fillId="0" borderId="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07"/>
  <sheetViews>
    <sheetView tabSelected="1" workbookViewId="0">
      <selection activeCell="W20" sqref="W20"/>
    </sheetView>
  </sheetViews>
  <sheetFormatPr defaultRowHeight="15" x14ac:dyDescent="0.25"/>
  <cols>
    <col min="1" max="1" width="20.5703125" style="5" customWidth="1"/>
    <col min="2" max="2" width="15.42578125" customWidth="1"/>
    <col min="3" max="9" width="0" hidden="1" customWidth="1"/>
    <col min="10" max="10" width="16" style="3" customWidth="1"/>
    <col min="11" max="16" width="0" hidden="1" customWidth="1"/>
    <col min="17" max="17" width="5.85546875" hidden="1" customWidth="1"/>
    <col min="18" max="18" width="15.140625" style="10" customWidth="1"/>
    <col min="19" max="19" width="10" style="3" customWidth="1"/>
    <col min="20" max="20" width="9.140625" style="21"/>
    <col min="27" max="27" width="22.140625" style="13" customWidth="1"/>
  </cols>
  <sheetData>
    <row r="1" spans="1:27" x14ac:dyDescent="0.25">
      <c r="A1" s="1" t="s">
        <v>0</v>
      </c>
      <c r="B1" s="4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2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2">
        <v>15</v>
      </c>
      <c r="R1" s="9" t="s">
        <v>567</v>
      </c>
      <c r="S1" s="2">
        <v>16</v>
      </c>
      <c r="T1" s="24">
        <v>17</v>
      </c>
      <c r="U1" s="4">
        <v>18</v>
      </c>
      <c r="V1" s="1">
        <v>19</v>
      </c>
      <c r="W1" s="1">
        <v>20</v>
      </c>
      <c r="X1" s="1">
        <v>21</v>
      </c>
      <c r="Y1" s="1">
        <v>22</v>
      </c>
      <c r="Z1" s="2">
        <v>23</v>
      </c>
    </row>
    <row r="2" spans="1:27" x14ac:dyDescent="0.25">
      <c r="A2" s="5" t="s">
        <v>1</v>
      </c>
      <c r="B2" t="s">
        <v>2</v>
      </c>
      <c r="J2" s="3" t="s">
        <v>3</v>
      </c>
      <c r="R2" s="10" t="s">
        <v>568</v>
      </c>
      <c r="S2" s="6" t="s">
        <v>4</v>
      </c>
      <c r="AA2" s="14" t="s">
        <v>570</v>
      </c>
    </row>
    <row r="3" spans="1:27" x14ac:dyDescent="0.25">
      <c r="A3" s="5" t="s">
        <v>5</v>
      </c>
      <c r="B3" t="s">
        <v>6</v>
      </c>
      <c r="J3" s="3" t="s">
        <v>7</v>
      </c>
      <c r="R3" s="10" t="s">
        <v>569</v>
      </c>
      <c r="S3" s="3" t="s">
        <v>566</v>
      </c>
      <c r="AA3" s="12" t="s">
        <v>571</v>
      </c>
    </row>
    <row r="4" spans="1:27" x14ac:dyDescent="0.25">
      <c r="A4" s="5" t="s">
        <v>8</v>
      </c>
      <c r="B4" s="7">
        <v>0.51019099999999995</v>
      </c>
      <c r="C4" s="7"/>
      <c r="D4" s="7"/>
      <c r="E4" s="7"/>
      <c r="F4" s="7"/>
      <c r="G4" s="7"/>
      <c r="H4" s="7"/>
      <c r="I4" s="7"/>
      <c r="J4" s="8">
        <v>0.54339999999999999</v>
      </c>
      <c r="R4" s="11">
        <f>J4-B4</f>
        <v>3.3209000000000044E-2</v>
      </c>
      <c r="S4" s="8">
        <v>0.51042600000000005</v>
      </c>
      <c r="AA4" s="15">
        <f>R4+S4</f>
        <v>0.54363500000000009</v>
      </c>
    </row>
    <row r="5" spans="1:27" x14ac:dyDescent="0.25">
      <c r="A5" s="5" t="s">
        <v>9</v>
      </c>
      <c r="B5" s="7">
        <v>0.231262</v>
      </c>
      <c r="C5" s="7"/>
      <c r="D5" s="7"/>
      <c r="E5" s="7"/>
      <c r="F5" s="7"/>
      <c r="G5" s="7"/>
      <c r="H5" s="7"/>
      <c r="I5" s="7"/>
      <c r="J5" s="8">
        <v>0.246364</v>
      </c>
      <c r="R5" s="11"/>
      <c r="S5" s="8">
        <v>0.55238900000000002</v>
      </c>
    </row>
    <row r="6" spans="1:27" x14ac:dyDescent="0.25">
      <c r="A6" s="5" t="s">
        <v>10</v>
      </c>
      <c r="B6" s="7">
        <v>0.21519199999999999</v>
      </c>
      <c r="C6" s="7"/>
      <c r="D6" s="7"/>
      <c r="E6" s="7"/>
      <c r="F6" s="7"/>
      <c r="G6" s="7"/>
      <c r="H6" s="7"/>
      <c r="I6" s="7"/>
      <c r="J6" s="8">
        <v>0.22606299999999999</v>
      </c>
      <c r="R6" s="11"/>
      <c r="S6" s="8">
        <v>0.37785800000000003</v>
      </c>
    </row>
    <row r="7" spans="1:27" x14ac:dyDescent="0.25">
      <c r="A7" s="5" t="s">
        <v>11</v>
      </c>
      <c r="B7" s="7">
        <v>0.39100400000000002</v>
      </c>
      <c r="C7" s="7"/>
      <c r="D7" s="7"/>
      <c r="E7" s="7"/>
      <c r="F7" s="7"/>
      <c r="G7" s="7"/>
      <c r="H7" s="7"/>
      <c r="I7" s="7"/>
      <c r="J7" s="8">
        <v>0.40375499999999998</v>
      </c>
      <c r="R7" s="11"/>
      <c r="S7" s="8">
        <v>0.62861500000000003</v>
      </c>
    </row>
    <row r="8" spans="1:27" x14ac:dyDescent="0.25">
      <c r="A8" s="5" t="s">
        <v>12</v>
      </c>
      <c r="B8" s="7">
        <v>0.48148600000000003</v>
      </c>
      <c r="C8" s="7"/>
      <c r="D8" s="7"/>
      <c r="E8" s="7"/>
      <c r="F8" s="7"/>
      <c r="G8" s="7"/>
      <c r="H8" s="7"/>
      <c r="I8" s="7"/>
      <c r="J8" s="8">
        <v>0.49031999999999998</v>
      </c>
      <c r="R8" s="11"/>
      <c r="S8" s="8">
        <v>0.82040100000000005</v>
      </c>
    </row>
    <row r="9" spans="1:27" x14ac:dyDescent="0.25">
      <c r="A9" s="5" t="s">
        <v>13</v>
      </c>
      <c r="B9" s="7">
        <v>0.78971800000000003</v>
      </c>
      <c r="C9" s="7"/>
      <c r="D9" s="7"/>
      <c r="E9" s="7"/>
      <c r="F9" s="7"/>
      <c r="G9" s="7"/>
      <c r="H9" s="7"/>
      <c r="I9" s="7"/>
      <c r="J9" s="8">
        <v>0.79277399999999998</v>
      </c>
      <c r="R9" s="11"/>
      <c r="S9" s="8">
        <v>0.87146699999999999</v>
      </c>
    </row>
    <row r="10" spans="1:27" x14ac:dyDescent="0.25">
      <c r="A10" s="5" t="s">
        <v>14</v>
      </c>
      <c r="B10" s="7">
        <v>0.62459799999999999</v>
      </c>
      <c r="C10" s="7"/>
      <c r="D10" s="7"/>
      <c r="E10" s="7"/>
      <c r="F10" s="7"/>
      <c r="G10" s="7"/>
      <c r="H10" s="7"/>
      <c r="I10" s="7"/>
      <c r="J10" s="8">
        <v>0.65552299999999997</v>
      </c>
      <c r="R10" s="11"/>
      <c r="S10" s="8">
        <v>0.88249100000000003</v>
      </c>
    </row>
    <row r="11" spans="1:27" x14ac:dyDescent="0.25">
      <c r="A11" s="5" t="s">
        <v>15</v>
      </c>
      <c r="B11" s="7">
        <v>6.4162999999999998E-2</v>
      </c>
      <c r="C11" s="7"/>
      <c r="D11" s="7"/>
      <c r="E11" s="7"/>
      <c r="F11" s="7"/>
      <c r="G11" s="7"/>
      <c r="H11" s="7"/>
      <c r="I11" s="7"/>
      <c r="J11" s="8">
        <v>6.3604999999999995E-2</v>
      </c>
      <c r="R11" s="11"/>
      <c r="S11" s="8">
        <v>6.8914000000000003E-2</v>
      </c>
    </row>
    <row r="12" spans="1:27" x14ac:dyDescent="0.25">
      <c r="A12" s="5" t="s">
        <v>16</v>
      </c>
      <c r="B12" s="7">
        <v>0.51799499999999998</v>
      </c>
      <c r="C12" s="7"/>
      <c r="D12" s="7"/>
      <c r="E12" s="7"/>
      <c r="F12" s="7"/>
      <c r="G12" s="7"/>
      <c r="H12" s="7"/>
      <c r="I12" s="7"/>
      <c r="J12" s="8">
        <v>0.524146</v>
      </c>
      <c r="R12" s="11"/>
      <c r="S12" s="8">
        <v>0.50985100000000005</v>
      </c>
    </row>
    <row r="13" spans="1:27" x14ac:dyDescent="0.25">
      <c r="A13" s="5" t="s">
        <v>17</v>
      </c>
      <c r="B13" s="7">
        <v>0.19115399999999999</v>
      </c>
      <c r="C13" s="7"/>
      <c r="D13" s="7"/>
      <c r="E13" s="7"/>
      <c r="F13" s="7"/>
      <c r="G13" s="7"/>
      <c r="H13" s="7"/>
      <c r="I13" s="7"/>
      <c r="J13" s="8">
        <v>0.19942599999999999</v>
      </c>
      <c r="R13" s="11">
        <f>J13-B13</f>
        <v>8.2720000000000016E-3</v>
      </c>
      <c r="S13" s="8">
        <v>0.37489600000000001</v>
      </c>
      <c r="AA13" s="15">
        <f>R13+S13</f>
        <v>0.38316800000000001</v>
      </c>
    </row>
    <row r="14" spans="1:27" x14ac:dyDescent="0.25">
      <c r="A14" s="5" t="s">
        <v>18</v>
      </c>
      <c r="B14" s="7">
        <v>0.331758</v>
      </c>
      <c r="C14" s="7"/>
      <c r="D14" s="7"/>
      <c r="E14" s="7"/>
      <c r="F14" s="7"/>
      <c r="G14" s="7"/>
      <c r="H14" s="7"/>
      <c r="I14" s="7"/>
      <c r="J14" s="8">
        <v>0.33682200000000001</v>
      </c>
      <c r="R14" s="11">
        <f t="shared" ref="R14:R27" si="0">J14-B14</f>
        <v>5.0640000000000129E-3</v>
      </c>
      <c r="S14" s="8">
        <v>0.60188299999999995</v>
      </c>
      <c r="AA14" s="15">
        <f t="shared" ref="AA14:AA27" si="1">R14+S14</f>
        <v>0.6069469999999999</v>
      </c>
    </row>
    <row r="15" spans="1:27" x14ac:dyDescent="0.25">
      <c r="A15" s="5" t="s">
        <v>19</v>
      </c>
      <c r="B15" s="7">
        <v>0.57230899999999996</v>
      </c>
      <c r="C15" s="7"/>
      <c r="D15" s="7"/>
      <c r="E15" s="7"/>
      <c r="F15" s="7"/>
      <c r="G15" s="7"/>
      <c r="H15" s="7"/>
      <c r="I15" s="7"/>
      <c r="J15" s="8">
        <v>0.59829500000000002</v>
      </c>
      <c r="R15" s="11">
        <f t="shared" si="0"/>
        <v>2.5986000000000065E-2</v>
      </c>
      <c r="S15" s="8">
        <v>0.86096899999999998</v>
      </c>
      <c r="AA15" s="15">
        <f t="shared" si="1"/>
        <v>0.88695500000000005</v>
      </c>
    </row>
    <row r="16" spans="1:27" x14ac:dyDescent="0.25">
      <c r="A16" s="5" t="s">
        <v>20</v>
      </c>
      <c r="B16" s="7">
        <v>0.45709499999999997</v>
      </c>
      <c r="C16" s="7"/>
      <c r="D16" s="7"/>
      <c r="E16" s="7"/>
      <c r="F16" s="7"/>
      <c r="G16" s="7"/>
      <c r="H16" s="7"/>
      <c r="I16" s="7"/>
      <c r="J16" s="8">
        <v>0.46273300000000001</v>
      </c>
      <c r="R16" s="11">
        <f t="shared" si="0"/>
        <v>5.6380000000000319E-3</v>
      </c>
      <c r="S16" s="8">
        <v>0.43251000000000001</v>
      </c>
      <c r="AA16" s="15">
        <f t="shared" si="1"/>
        <v>0.43814800000000004</v>
      </c>
    </row>
    <row r="17" spans="1:27" x14ac:dyDescent="0.25">
      <c r="A17" s="5" t="s">
        <v>21</v>
      </c>
      <c r="B17" s="7">
        <v>1.1095000000000001E-2</v>
      </c>
      <c r="C17" s="7"/>
      <c r="D17" s="7"/>
      <c r="E17" s="7"/>
      <c r="F17" s="7"/>
      <c r="G17" s="7"/>
      <c r="H17" s="7"/>
      <c r="I17" s="7"/>
      <c r="J17" s="8">
        <v>1.1507E-2</v>
      </c>
      <c r="R17" s="11">
        <f t="shared" si="0"/>
        <v>4.1199999999999917E-4</v>
      </c>
      <c r="S17" s="8">
        <v>2.4649000000000001E-2</v>
      </c>
      <c r="AA17" s="15">
        <f t="shared" si="1"/>
        <v>2.5061E-2</v>
      </c>
    </row>
    <row r="18" spans="1:27" x14ac:dyDescent="0.25">
      <c r="A18" s="5" t="s">
        <v>22</v>
      </c>
      <c r="B18" s="7">
        <v>4.9592999999999998E-2</v>
      </c>
      <c r="C18" s="7"/>
      <c r="D18" s="7"/>
      <c r="E18" s="7"/>
      <c r="F18" s="7"/>
      <c r="G18" s="7"/>
      <c r="H18" s="7"/>
      <c r="I18" s="7"/>
      <c r="J18" s="8">
        <v>5.0620999999999999E-2</v>
      </c>
      <c r="R18" s="11">
        <f t="shared" si="0"/>
        <v>1.0280000000000011E-3</v>
      </c>
      <c r="S18" s="8">
        <v>5.509E-2</v>
      </c>
      <c r="AA18" s="15">
        <f t="shared" si="1"/>
        <v>5.6118000000000001E-2</v>
      </c>
    </row>
    <row r="19" spans="1:27" x14ac:dyDescent="0.25">
      <c r="A19" s="5" t="s">
        <v>23</v>
      </c>
      <c r="B19" s="7">
        <v>0.17027999999999999</v>
      </c>
      <c r="C19" s="7"/>
      <c r="D19" s="7"/>
      <c r="E19" s="7"/>
      <c r="F19" s="7"/>
      <c r="G19" s="7"/>
      <c r="H19" s="7"/>
      <c r="I19" s="7"/>
      <c r="J19" s="8">
        <v>0.174591</v>
      </c>
      <c r="R19" s="11">
        <f t="shared" si="0"/>
        <v>4.3110000000000093E-3</v>
      </c>
      <c r="S19" s="8">
        <v>0.277584</v>
      </c>
      <c r="AA19" s="15">
        <f t="shared" si="1"/>
        <v>0.28189500000000001</v>
      </c>
    </row>
    <row r="20" spans="1:27" x14ac:dyDescent="0.25">
      <c r="A20" s="5" t="s">
        <v>24</v>
      </c>
      <c r="B20" s="7">
        <v>5.2568999999999998E-2</v>
      </c>
      <c r="C20" s="7"/>
      <c r="D20" s="7"/>
      <c r="E20" s="7"/>
      <c r="F20" s="7"/>
      <c r="G20" s="7"/>
      <c r="H20" s="7"/>
      <c r="I20" s="7"/>
      <c r="J20" s="8">
        <v>5.4606000000000002E-2</v>
      </c>
      <c r="R20" s="11">
        <f t="shared" si="0"/>
        <v>2.0370000000000041E-3</v>
      </c>
      <c r="S20" s="8">
        <v>8.1118999999999997E-2</v>
      </c>
      <c r="AA20" s="15">
        <f t="shared" si="1"/>
        <v>8.3156000000000008E-2</v>
      </c>
    </row>
    <row r="21" spans="1:27" x14ac:dyDescent="0.25">
      <c r="A21" s="5" t="s">
        <v>25</v>
      </c>
      <c r="B21" s="7">
        <v>0.115716</v>
      </c>
      <c r="C21" s="7"/>
      <c r="D21" s="7"/>
      <c r="E21" s="7"/>
      <c r="F21" s="7"/>
      <c r="G21" s="7"/>
      <c r="H21" s="7"/>
      <c r="I21" s="7"/>
      <c r="J21" s="8">
        <v>0.118034</v>
      </c>
      <c r="R21" s="11">
        <f t="shared" si="0"/>
        <v>2.3180000000000006E-3</v>
      </c>
      <c r="S21" s="8">
        <v>0.155887</v>
      </c>
      <c r="AA21" s="15">
        <f t="shared" si="1"/>
        <v>0.15820499999999998</v>
      </c>
    </row>
    <row r="22" spans="1:27" x14ac:dyDescent="0.25">
      <c r="A22" s="5" t="s">
        <v>26</v>
      </c>
      <c r="B22" s="7">
        <v>1.0579E-2</v>
      </c>
      <c r="C22" s="7"/>
      <c r="D22" s="7"/>
      <c r="E22" s="7"/>
      <c r="F22" s="7"/>
      <c r="G22" s="7"/>
      <c r="H22" s="7"/>
      <c r="I22" s="7"/>
      <c r="J22" s="8">
        <v>1.3664000000000001E-2</v>
      </c>
      <c r="R22" s="11">
        <f t="shared" si="0"/>
        <v>3.0850000000000009E-3</v>
      </c>
      <c r="S22" s="8">
        <v>1.4291E-2</v>
      </c>
      <c r="AA22" s="15">
        <f t="shared" si="1"/>
        <v>1.7376000000000003E-2</v>
      </c>
    </row>
    <row r="23" spans="1:27" x14ac:dyDescent="0.25">
      <c r="A23" s="5" t="s">
        <v>27</v>
      </c>
      <c r="B23" s="7">
        <v>2.5071E-2</v>
      </c>
      <c r="C23" s="7"/>
      <c r="D23" s="7"/>
      <c r="E23" s="7"/>
      <c r="F23" s="7"/>
      <c r="G23" s="7"/>
      <c r="H23" s="7"/>
      <c r="I23" s="7"/>
      <c r="J23" s="8">
        <v>2.6519000000000001E-2</v>
      </c>
      <c r="R23" s="11">
        <f t="shared" si="0"/>
        <v>1.4480000000000014E-3</v>
      </c>
      <c r="S23" s="8">
        <v>3.9002000000000002E-2</v>
      </c>
      <c r="AA23" s="15">
        <f t="shared" si="1"/>
        <v>4.045E-2</v>
      </c>
    </row>
    <row r="24" spans="1:27" x14ac:dyDescent="0.25">
      <c r="A24" s="5" t="s">
        <v>28</v>
      </c>
      <c r="B24" s="7">
        <v>0.37461899999999998</v>
      </c>
      <c r="C24" s="7"/>
      <c r="D24" s="7"/>
      <c r="E24" s="7"/>
      <c r="F24" s="7"/>
      <c r="G24" s="7"/>
      <c r="H24" s="7"/>
      <c r="I24" s="7"/>
      <c r="J24" s="8">
        <v>0.390291</v>
      </c>
      <c r="R24" s="11">
        <f t="shared" si="0"/>
        <v>1.5672000000000019E-2</v>
      </c>
      <c r="S24" s="8">
        <v>0.60623400000000005</v>
      </c>
      <c r="AA24" s="15">
        <f t="shared" si="1"/>
        <v>0.62190600000000007</v>
      </c>
    </row>
    <row r="25" spans="1:27" x14ac:dyDescent="0.25">
      <c r="A25" s="5" t="s">
        <v>29</v>
      </c>
      <c r="B25" s="7">
        <v>6.9290000000000003E-3</v>
      </c>
      <c r="C25" s="7"/>
      <c r="D25" s="7"/>
      <c r="E25" s="7"/>
      <c r="F25" s="7"/>
      <c r="G25" s="7"/>
      <c r="H25" s="7"/>
      <c r="I25" s="7"/>
      <c r="J25" s="8">
        <v>7.195E-3</v>
      </c>
      <c r="R25" s="11">
        <f t="shared" si="0"/>
        <v>2.6599999999999974E-4</v>
      </c>
      <c r="S25" s="8">
        <v>2.393E-2</v>
      </c>
      <c r="AA25" s="15">
        <f t="shared" si="1"/>
        <v>2.4195999999999999E-2</v>
      </c>
    </row>
    <row r="26" spans="1:27" x14ac:dyDescent="0.25">
      <c r="A26" s="5" t="s">
        <v>30</v>
      </c>
      <c r="B26" s="7">
        <v>3.2771000000000002E-2</v>
      </c>
      <c r="C26" s="7"/>
      <c r="D26" s="7"/>
      <c r="E26" s="7"/>
      <c r="F26" s="7"/>
      <c r="G26" s="7"/>
      <c r="H26" s="7"/>
      <c r="I26" s="7"/>
      <c r="J26" s="8">
        <v>3.3971000000000001E-2</v>
      </c>
      <c r="R26" s="11">
        <f t="shared" si="0"/>
        <v>1.1999999999999997E-3</v>
      </c>
      <c r="S26" s="8">
        <v>5.2595000000000003E-2</v>
      </c>
      <c r="AA26" s="15">
        <f t="shared" si="1"/>
        <v>5.3795000000000003E-2</v>
      </c>
    </row>
    <row r="27" spans="1:27" x14ac:dyDescent="0.25">
      <c r="A27" s="5" t="s">
        <v>31</v>
      </c>
      <c r="B27" s="7">
        <v>2.4111669999999998</v>
      </c>
      <c r="C27" s="7"/>
      <c r="D27" s="7"/>
      <c r="E27" s="7"/>
      <c r="F27" s="7"/>
      <c r="G27" s="7"/>
      <c r="H27" s="7"/>
      <c r="I27" s="7"/>
      <c r="J27" s="8">
        <v>2.4879370000000001</v>
      </c>
      <c r="R27" s="11">
        <f t="shared" si="0"/>
        <v>7.6770000000000227E-2</v>
      </c>
      <c r="S27" s="8">
        <v>3.6042890000000001</v>
      </c>
      <c r="AA27" s="15">
        <f t="shared" si="1"/>
        <v>3.6810590000000003</v>
      </c>
    </row>
    <row r="28" spans="1:27" x14ac:dyDescent="0.25">
      <c r="A28" s="5" t="s">
        <v>32</v>
      </c>
      <c r="B28">
        <v>828.5</v>
      </c>
      <c r="J28" s="3">
        <v>830</v>
      </c>
      <c r="S28" s="3">
        <v>830</v>
      </c>
    </row>
    <row r="29" spans="1:27" x14ac:dyDescent="0.25">
      <c r="A29" s="5" t="s">
        <v>33</v>
      </c>
      <c r="B29" t="s">
        <v>34</v>
      </c>
      <c r="J29" s="3" t="s">
        <v>35</v>
      </c>
      <c r="S29" s="3" t="s">
        <v>36</v>
      </c>
    </row>
    <row r="30" spans="1:27" x14ac:dyDescent="0.25">
      <c r="A30" s="5" t="s">
        <v>37</v>
      </c>
      <c r="B30" t="s">
        <v>38</v>
      </c>
      <c r="J30" s="3" t="s">
        <v>38</v>
      </c>
      <c r="S30" s="3" t="s">
        <v>38</v>
      </c>
    </row>
    <row r="31" spans="1:27" x14ac:dyDescent="0.25">
      <c r="A31" s="5" t="s">
        <v>39</v>
      </c>
      <c r="B31" t="s">
        <v>38</v>
      </c>
      <c r="J31" s="3" t="s">
        <v>38</v>
      </c>
      <c r="S31" s="3" t="s">
        <v>38</v>
      </c>
    </row>
    <row r="32" spans="1:27" x14ac:dyDescent="0.25">
      <c r="A32" s="5" t="s">
        <v>40</v>
      </c>
      <c r="B32" t="s">
        <v>38</v>
      </c>
      <c r="J32" s="3" t="s">
        <v>38</v>
      </c>
      <c r="S32" s="3" t="s">
        <v>38</v>
      </c>
    </row>
    <row r="33" spans="1:27" x14ac:dyDescent="0.25">
      <c r="A33" s="5" t="s">
        <v>41</v>
      </c>
      <c r="B33" t="s">
        <v>38</v>
      </c>
      <c r="J33" s="3" t="s">
        <v>38</v>
      </c>
      <c r="S33" s="3" t="s">
        <v>38</v>
      </c>
    </row>
    <row r="34" spans="1:27" x14ac:dyDescent="0.25">
      <c r="A34" s="5" t="s">
        <v>42</v>
      </c>
      <c r="B34" t="s">
        <v>43</v>
      </c>
      <c r="J34" s="3" t="s">
        <v>43</v>
      </c>
      <c r="S34" s="3" t="s">
        <v>43</v>
      </c>
    </row>
    <row r="35" spans="1:27" x14ac:dyDescent="0.25">
      <c r="A35" s="5" t="s">
        <v>44</v>
      </c>
      <c r="B35" t="s">
        <v>43</v>
      </c>
      <c r="J35" s="3" t="s">
        <v>43</v>
      </c>
      <c r="S35" s="3" t="s">
        <v>43</v>
      </c>
    </row>
    <row r="36" spans="1:27" x14ac:dyDescent="0.25">
      <c r="A36" s="5" t="s">
        <v>45</v>
      </c>
      <c r="B36" t="s">
        <v>43</v>
      </c>
      <c r="J36" s="3" t="s">
        <v>43</v>
      </c>
      <c r="S36" s="3" t="s">
        <v>43</v>
      </c>
    </row>
    <row r="37" spans="1:27" x14ac:dyDescent="0.25">
      <c r="A37" s="5" t="s">
        <v>46</v>
      </c>
      <c r="B37" t="s">
        <v>43</v>
      </c>
      <c r="J37" s="3" t="s">
        <v>43</v>
      </c>
      <c r="S37" s="3" t="s">
        <v>43</v>
      </c>
    </row>
    <row r="38" spans="1:27" x14ac:dyDescent="0.25">
      <c r="A38" s="5" t="s">
        <v>47</v>
      </c>
      <c r="B38" t="s">
        <v>48</v>
      </c>
      <c r="J38" s="3" t="s">
        <v>48</v>
      </c>
      <c r="S38" s="3" t="s">
        <v>48</v>
      </c>
      <c r="AA38" s="13" t="s">
        <v>48</v>
      </c>
    </row>
    <row r="39" spans="1:27" x14ac:dyDescent="0.25">
      <c r="A39" s="5" t="s">
        <v>49</v>
      </c>
      <c r="B39">
        <v>56.41</v>
      </c>
      <c r="J39" s="3">
        <v>56.6</v>
      </c>
      <c r="R39" s="11">
        <f t="shared" ref="R39:R54" si="2">J39-B39</f>
        <v>0.19000000000000483</v>
      </c>
      <c r="S39" s="3">
        <v>77.44</v>
      </c>
      <c r="AA39" s="16">
        <f t="shared" ref="AA39:AA73" si="3">R39+S39</f>
        <v>77.63</v>
      </c>
    </row>
    <row r="40" spans="1:27" x14ac:dyDescent="0.25">
      <c r="A40" s="5" t="s">
        <v>50</v>
      </c>
      <c r="B40">
        <v>7.11</v>
      </c>
      <c r="J40" s="3">
        <v>6.85</v>
      </c>
      <c r="R40" s="11">
        <f t="shared" si="2"/>
        <v>-0.26000000000000068</v>
      </c>
      <c r="S40" s="3">
        <v>10</v>
      </c>
      <c r="AA40" s="16">
        <f t="shared" si="3"/>
        <v>9.7399999999999984</v>
      </c>
    </row>
    <row r="41" spans="1:27" x14ac:dyDescent="0.25">
      <c r="A41" s="5" t="s">
        <v>51</v>
      </c>
      <c r="B41">
        <v>2.7</v>
      </c>
      <c r="J41" s="3">
        <v>2.72</v>
      </c>
      <c r="R41" s="11">
        <f t="shared" si="2"/>
        <v>2.0000000000000018E-2</v>
      </c>
      <c r="S41" s="3">
        <v>1.84</v>
      </c>
      <c r="AA41" s="16">
        <f t="shared" si="3"/>
        <v>1.86</v>
      </c>
    </row>
    <row r="42" spans="1:27" x14ac:dyDescent="0.25">
      <c r="A42" s="5" t="s">
        <v>52</v>
      </c>
      <c r="B42">
        <v>0.8</v>
      </c>
      <c r="J42" s="3">
        <v>0.79</v>
      </c>
      <c r="R42" s="11">
        <f t="shared" si="2"/>
        <v>-1.0000000000000009E-2</v>
      </c>
      <c r="S42" s="3">
        <v>1.06</v>
      </c>
      <c r="AA42" s="16">
        <f t="shared" si="3"/>
        <v>1.05</v>
      </c>
    </row>
    <row r="43" spans="1:27" x14ac:dyDescent="0.25">
      <c r="A43" s="5" t="s">
        <v>53</v>
      </c>
      <c r="B43">
        <v>12.58</v>
      </c>
      <c r="J43" s="3">
        <v>10.89</v>
      </c>
      <c r="R43" s="11">
        <f t="shared" si="2"/>
        <v>-1.6899999999999995</v>
      </c>
      <c r="S43" s="3">
        <v>4.49</v>
      </c>
      <c r="AA43" s="16">
        <f t="shared" si="3"/>
        <v>2.8000000000000007</v>
      </c>
    </row>
    <row r="44" spans="1:27" x14ac:dyDescent="0.25">
      <c r="A44" s="5" t="s">
        <v>54</v>
      </c>
      <c r="B44">
        <v>20.39</v>
      </c>
      <c r="J44" s="3">
        <v>22.15</v>
      </c>
      <c r="R44" s="11">
        <f t="shared" si="2"/>
        <v>1.759999999999998</v>
      </c>
      <c r="S44" s="3">
        <v>5.16</v>
      </c>
      <c r="AA44" s="16">
        <f t="shared" si="3"/>
        <v>6.9199999999999982</v>
      </c>
    </row>
    <row r="45" spans="1:27" x14ac:dyDescent="0.25">
      <c r="A45" s="5" t="s">
        <v>55</v>
      </c>
      <c r="B45">
        <v>0</v>
      </c>
      <c r="J45" s="3">
        <v>0</v>
      </c>
      <c r="R45" s="11">
        <f t="shared" si="2"/>
        <v>0</v>
      </c>
      <c r="S45" s="3">
        <v>0</v>
      </c>
      <c r="AA45" s="16">
        <f t="shared" si="3"/>
        <v>0</v>
      </c>
    </row>
    <row r="46" spans="1:27" x14ac:dyDescent="0.25">
      <c r="A46" s="5" t="s">
        <v>56</v>
      </c>
      <c r="B46" t="s">
        <v>57</v>
      </c>
      <c r="J46" s="3" t="s">
        <v>57</v>
      </c>
      <c r="S46" s="3" t="s">
        <v>57</v>
      </c>
      <c r="AA46" s="13" t="s">
        <v>57</v>
      </c>
    </row>
    <row r="47" spans="1:27" x14ac:dyDescent="0.25">
      <c r="A47" s="5" t="s">
        <v>58</v>
      </c>
      <c r="B47">
        <v>3.01</v>
      </c>
      <c r="J47" s="3">
        <v>3.36</v>
      </c>
      <c r="R47" s="11">
        <f t="shared" si="2"/>
        <v>0.35000000000000009</v>
      </c>
      <c r="S47" s="3">
        <v>4.95</v>
      </c>
      <c r="AA47" s="16">
        <f t="shared" si="3"/>
        <v>5.3000000000000007</v>
      </c>
    </row>
    <row r="48" spans="1:27" x14ac:dyDescent="0.25">
      <c r="A48" s="5" t="s">
        <v>59</v>
      </c>
      <c r="B48">
        <v>2.97</v>
      </c>
      <c r="J48" s="3">
        <v>3.73</v>
      </c>
      <c r="R48" s="11">
        <f t="shared" si="2"/>
        <v>0.75999999999999979</v>
      </c>
      <c r="S48" s="3">
        <v>4.93</v>
      </c>
      <c r="AA48" s="16">
        <f t="shared" si="3"/>
        <v>5.6899999999999995</v>
      </c>
    </row>
    <row r="49" spans="1:27" x14ac:dyDescent="0.25">
      <c r="A49" s="5" t="s">
        <v>60</v>
      </c>
      <c r="B49">
        <v>2.78</v>
      </c>
      <c r="J49" s="3">
        <v>3</v>
      </c>
      <c r="R49" s="11">
        <f t="shared" si="2"/>
        <v>0.2200000000000002</v>
      </c>
      <c r="S49" s="3">
        <v>5.3</v>
      </c>
      <c r="AA49" s="16">
        <f t="shared" si="3"/>
        <v>5.52</v>
      </c>
    </row>
    <row r="50" spans="1:27" x14ac:dyDescent="0.25">
      <c r="A50" s="5" t="s">
        <v>61</v>
      </c>
      <c r="B50">
        <v>2.99</v>
      </c>
      <c r="J50" s="3">
        <v>2.99</v>
      </c>
      <c r="R50" s="11">
        <f t="shared" si="2"/>
        <v>0</v>
      </c>
      <c r="S50" s="3">
        <v>4.79</v>
      </c>
      <c r="AA50" s="16">
        <f t="shared" si="3"/>
        <v>4.79</v>
      </c>
    </row>
    <row r="51" spans="1:27" x14ac:dyDescent="0.25">
      <c r="A51" s="5" t="s">
        <v>62</v>
      </c>
      <c r="B51">
        <v>21</v>
      </c>
      <c r="J51" s="3">
        <v>20.59</v>
      </c>
      <c r="R51" s="11">
        <f t="shared" si="2"/>
        <v>-0.41000000000000014</v>
      </c>
      <c r="S51" s="3">
        <v>33.33</v>
      </c>
      <c r="AA51" s="16">
        <f t="shared" si="3"/>
        <v>32.92</v>
      </c>
    </row>
    <row r="52" spans="1:27" x14ac:dyDescent="0.25">
      <c r="A52" s="5" t="s">
        <v>63</v>
      </c>
      <c r="B52">
        <v>21.38</v>
      </c>
      <c r="J52" s="3">
        <v>21.61</v>
      </c>
      <c r="R52" s="11">
        <f t="shared" si="2"/>
        <v>0.23000000000000043</v>
      </c>
      <c r="S52" s="3">
        <v>33.229999999999997</v>
      </c>
      <c r="AA52" s="16">
        <f t="shared" si="3"/>
        <v>33.459999999999994</v>
      </c>
    </row>
    <row r="53" spans="1:27" x14ac:dyDescent="0.25">
      <c r="A53" s="5" t="s">
        <v>64</v>
      </c>
      <c r="B53">
        <v>21.29</v>
      </c>
      <c r="J53" s="3">
        <v>21.61</v>
      </c>
      <c r="R53" s="11">
        <f t="shared" si="2"/>
        <v>0.32000000000000028</v>
      </c>
      <c r="S53" s="3">
        <v>35</v>
      </c>
      <c r="AA53" s="16">
        <f t="shared" si="3"/>
        <v>35.32</v>
      </c>
    </row>
    <row r="54" spans="1:27" x14ac:dyDescent="0.25">
      <c r="A54" s="5" t="s">
        <v>65</v>
      </c>
      <c r="B54">
        <v>23.19</v>
      </c>
      <c r="J54" s="3">
        <v>22.28</v>
      </c>
      <c r="R54" s="11">
        <f t="shared" si="2"/>
        <v>-0.91000000000000014</v>
      </c>
      <c r="S54" s="3">
        <v>36.950000000000003</v>
      </c>
      <c r="AA54" s="16">
        <f t="shared" si="3"/>
        <v>36.040000000000006</v>
      </c>
    </row>
    <row r="55" spans="1:27" x14ac:dyDescent="0.25">
      <c r="A55" s="5" t="s">
        <v>66</v>
      </c>
      <c r="B55" t="s">
        <v>67</v>
      </c>
      <c r="J55" s="3" t="s">
        <v>67</v>
      </c>
      <c r="S55" s="3" t="s">
        <v>67</v>
      </c>
      <c r="AA55" s="13" t="s">
        <v>67</v>
      </c>
    </row>
    <row r="56" spans="1:27" x14ac:dyDescent="0.25">
      <c r="A56" s="5" t="s">
        <v>68</v>
      </c>
      <c r="B56">
        <v>51.42</v>
      </c>
      <c r="J56" s="3">
        <v>51.18</v>
      </c>
      <c r="S56" s="3">
        <v>29.37</v>
      </c>
      <c r="AA56" s="16">
        <f t="shared" si="3"/>
        <v>29.37</v>
      </c>
    </row>
    <row r="57" spans="1:27" x14ac:dyDescent="0.25">
      <c r="A57" s="5" t="s">
        <v>69</v>
      </c>
      <c r="B57">
        <v>21.4</v>
      </c>
      <c r="J57" s="3">
        <v>21.31</v>
      </c>
      <c r="S57" s="3">
        <v>25.09</v>
      </c>
      <c r="AA57" s="16">
        <f t="shared" si="3"/>
        <v>25.09</v>
      </c>
    </row>
    <row r="58" spans="1:27" x14ac:dyDescent="0.25">
      <c r="A58" s="5" t="s">
        <v>70</v>
      </c>
      <c r="B58">
        <v>14.67</v>
      </c>
      <c r="J58" s="3">
        <v>14.93</v>
      </c>
      <c r="S58" s="3">
        <v>22.03</v>
      </c>
      <c r="AA58" s="16">
        <f t="shared" si="3"/>
        <v>22.03</v>
      </c>
    </row>
    <row r="59" spans="1:27" x14ac:dyDescent="0.25">
      <c r="A59" s="5" t="s">
        <v>71</v>
      </c>
      <c r="B59">
        <v>4.83</v>
      </c>
      <c r="J59" s="3">
        <v>5.03</v>
      </c>
      <c r="S59" s="3">
        <v>10.67</v>
      </c>
      <c r="AA59" s="16">
        <f t="shared" si="3"/>
        <v>10.67</v>
      </c>
    </row>
    <row r="60" spans="1:27" x14ac:dyDescent="0.25">
      <c r="A60" s="5" t="s">
        <v>72</v>
      </c>
      <c r="B60">
        <v>7.52</v>
      </c>
      <c r="J60" s="3">
        <v>7.39</v>
      </c>
      <c r="S60" s="3">
        <v>11.34</v>
      </c>
      <c r="AA60" s="16">
        <f t="shared" si="3"/>
        <v>11.34</v>
      </c>
    </row>
    <row r="61" spans="1:27" x14ac:dyDescent="0.25">
      <c r="A61" s="5" t="s">
        <v>73</v>
      </c>
      <c r="B61">
        <v>0.15</v>
      </c>
      <c r="J61" s="3">
        <v>0.1</v>
      </c>
      <c r="S61" s="3">
        <v>0.61</v>
      </c>
      <c r="AA61" s="16">
        <f t="shared" si="3"/>
        <v>0.61</v>
      </c>
    </row>
    <row r="62" spans="1:27" x14ac:dyDescent="0.25">
      <c r="A62" s="5" t="s">
        <v>74</v>
      </c>
      <c r="B62">
        <v>0.01</v>
      </c>
      <c r="J62" s="3">
        <v>0.01</v>
      </c>
      <c r="S62" s="3">
        <v>0.35</v>
      </c>
      <c r="AA62" s="16">
        <f t="shared" si="3"/>
        <v>0.35</v>
      </c>
    </row>
    <row r="63" spans="1:27" x14ac:dyDescent="0.25">
      <c r="A63" s="5" t="s">
        <v>75</v>
      </c>
      <c r="B63">
        <v>0</v>
      </c>
      <c r="J63" s="3">
        <v>0.01</v>
      </c>
      <c r="S63" s="3">
        <v>0.22</v>
      </c>
      <c r="AA63" s="16">
        <f t="shared" si="3"/>
        <v>0.22</v>
      </c>
    </row>
    <row r="64" spans="1:27" x14ac:dyDescent="0.25">
      <c r="A64" s="5" t="s">
        <v>76</v>
      </c>
      <c r="B64">
        <v>0.01</v>
      </c>
      <c r="J64" s="3">
        <v>0.02</v>
      </c>
      <c r="S64" s="3">
        <v>0.32</v>
      </c>
      <c r="AA64" s="16">
        <f t="shared" si="3"/>
        <v>0.32</v>
      </c>
    </row>
    <row r="65" spans="1:27" x14ac:dyDescent="0.25">
      <c r="A65" s="5" t="s">
        <v>77</v>
      </c>
      <c r="B65" t="s">
        <v>78</v>
      </c>
      <c r="J65" s="3" t="s">
        <v>78</v>
      </c>
      <c r="S65" s="3" t="s">
        <v>78</v>
      </c>
      <c r="AA65" s="13" t="s">
        <v>78</v>
      </c>
    </row>
    <row r="66" spans="1:27" x14ac:dyDescent="0.25">
      <c r="A66" s="5" t="s">
        <v>79</v>
      </c>
      <c r="B66">
        <v>2.99</v>
      </c>
      <c r="J66" s="3">
        <v>3.33</v>
      </c>
      <c r="R66" s="11">
        <f t="shared" ref="R66:R73" si="4">J66-B66</f>
        <v>0.33999999999999986</v>
      </c>
      <c r="S66" s="3">
        <v>4.93</v>
      </c>
      <c r="AA66" s="16">
        <f t="shared" si="3"/>
        <v>5.27</v>
      </c>
    </row>
    <row r="67" spans="1:27" x14ac:dyDescent="0.25">
      <c r="A67" s="5" t="s">
        <v>80</v>
      </c>
      <c r="B67">
        <v>2.99</v>
      </c>
      <c r="J67" s="3">
        <v>3.74</v>
      </c>
      <c r="R67" s="11">
        <f t="shared" si="4"/>
        <v>0.75</v>
      </c>
      <c r="S67" s="3">
        <v>4.93</v>
      </c>
      <c r="AA67" s="16">
        <f t="shared" si="3"/>
        <v>5.68</v>
      </c>
    </row>
    <row r="68" spans="1:27" x14ac:dyDescent="0.25">
      <c r="A68" s="5" t="s">
        <v>81</v>
      </c>
      <c r="B68">
        <v>2.8</v>
      </c>
      <c r="J68" s="3">
        <v>3.02</v>
      </c>
      <c r="R68" s="11">
        <f t="shared" si="4"/>
        <v>0.2200000000000002</v>
      </c>
      <c r="S68" s="3">
        <v>5.32</v>
      </c>
      <c r="AA68" s="16">
        <f t="shared" si="3"/>
        <v>5.5400000000000009</v>
      </c>
    </row>
    <row r="69" spans="1:27" x14ac:dyDescent="0.25">
      <c r="A69" s="5" t="s">
        <v>82</v>
      </c>
      <c r="B69">
        <v>3.01</v>
      </c>
      <c r="J69" s="3">
        <v>3.02</v>
      </c>
      <c r="R69" s="11">
        <f t="shared" si="4"/>
        <v>1.0000000000000231E-2</v>
      </c>
      <c r="S69" s="3">
        <v>4.84</v>
      </c>
      <c r="AA69" s="16">
        <f t="shared" si="3"/>
        <v>4.8499999999999996</v>
      </c>
    </row>
    <row r="70" spans="1:27" x14ac:dyDescent="0.25">
      <c r="A70" s="5" t="s">
        <v>83</v>
      </c>
      <c r="B70">
        <v>20.45</v>
      </c>
      <c r="J70" s="3">
        <v>20</v>
      </c>
      <c r="R70" s="11">
        <f t="shared" si="4"/>
        <v>-0.44999999999999929</v>
      </c>
      <c r="S70" s="3">
        <v>32.619999999999997</v>
      </c>
      <c r="AA70" s="16">
        <f t="shared" si="3"/>
        <v>32.17</v>
      </c>
    </row>
    <row r="71" spans="1:27" x14ac:dyDescent="0.25">
      <c r="A71" s="5" t="s">
        <v>84</v>
      </c>
      <c r="B71">
        <v>20.77</v>
      </c>
      <c r="J71" s="3">
        <v>20.98</v>
      </c>
      <c r="R71" s="11">
        <f t="shared" si="4"/>
        <v>0.21000000000000085</v>
      </c>
      <c r="S71" s="3">
        <v>32.6</v>
      </c>
      <c r="AA71" s="16">
        <f t="shared" si="3"/>
        <v>32.81</v>
      </c>
    </row>
    <row r="72" spans="1:27" x14ac:dyDescent="0.25">
      <c r="A72" s="5" t="s">
        <v>85</v>
      </c>
      <c r="B72">
        <v>20.63</v>
      </c>
      <c r="J72" s="3">
        <v>20.97</v>
      </c>
      <c r="R72" s="11">
        <f t="shared" si="4"/>
        <v>0.33999999999999986</v>
      </c>
      <c r="S72" s="3">
        <v>34.32</v>
      </c>
      <c r="AA72" s="16">
        <f t="shared" si="3"/>
        <v>34.659999999999997</v>
      </c>
    </row>
    <row r="73" spans="1:27" x14ac:dyDescent="0.25">
      <c r="A73" s="5" t="s">
        <v>86</v>
      </c>
      <c r="B73">
        <v>22.51</v>
      </c>
      <c r="J73" s="3">
        <v>21.63</v>
      </c>
      <c r="R73" s="11">
        <f t="shared" si="4"/>
        <v>-0.88000000000000256</v>
      </c>
      <c r="S73" s="3">
        <v>36.21</v>
      </c>
      <c r="AA73" s="16">
        <f t="shared" si="3"/>
        <v>35.33</v>
      </c>
    </row>
    <row r="74" spans="1:27" x14ac:dyDescent="0.25">
      <c r="A74" s="5" t="s">
        <v>87</v>
      </c>
      <c r="B74" t="s">
        <v>88</v>
      </c>
      <c r="J74" s="3" t="s">
        <v>88</v>
      </c>
      <c r="S74" s="3" t="s">
        <v>88</v>
      </c>
    </row>
    <row r="75" spans="1:27" x14ac:dyDescent="0.25">
      <c r="A75" s="5" t="s">
        <v>89</v>
      </c>
      <c r="B75" t="s">
        <v>90</v>
      </c>
      <c r="J75" s="3" t="s">
        <v>91</v>
      </c>
      <c r="S75" s="3" t="s">
        <v>92</v>
      </c>
    </row>
    <row r="76" spans="1:27" x14ac:dyDescent="0.25">
      <c r="A76" s="5" t="s">
        <v>93</v>
      </c>
      <c r="B76" t="s">
        <v>94</v>
      </c>
      <c r="J76" s="3" t="s">
        <v>95</v>
      </c>
      <c r="S76" s="3" t="s">
        <v>96</v>
      </c>
    </row>
    <row r="77" spans="1:27" x14ac:dyDescent="0.25">
      <c r="A77" s="5" t="s">
        <v>97</v>
      </c>
      <c r="B77" t="s">
        <v>98</v>
      </c>
      <c r="J77" s="3" t="s">
        <v>99</v>
      </c>
      <c r="S77" s="3" t="s">
        <v>100</v>
      </c>
    </row>
    <row r="78" spans="1:27" x14ac:dyDescent="0.25">
      <c r="A78" s="5" t="s">
        <v>101</v>
      </c>
      <c r="B78" t="s">
        <v>102</v>
      </c>
      <c r="J78" s="3" t="s">
        <v>103</v>
      </c>
      <c r="S78" s="3" t="s">
        <v>104</v>
      </c>
    </row>
    <row r="79" spans="1:27" x14ac:dyDescent="0.25">
      <c r="A79" s="5" t="s">
        <v>105</v>
      </c>
      <c r="B79" t="s">
        <v>106</v>
      </c>
      <c r="J79" s="3" t="s">
        <v>107</v>
      </c>
      <c r="S79" s="3" t="s">
        <v>108</v>
      </c>
    </row>
    <row r="80" spans="1:27" x14ac:dyDescent="0.25">
      <c r="A80" s="5" t="s">
        <v>109</v>
      </c>
      <c r="B80" t="s">
        <v>110</v>
      </c>
      <c r="J80" s="3" t="s">
        <v>111</v>
      </c>
      <c r="S80" s="3" t="s">
        <v>112</v>
      </c>
    </row>
    <row r="81" spans="1:27" x14ac:dyDescent="0.25">
      <c r="A81" s="5" t="s">
        <v>113</v>
      </c>
      <c r="B81" t="s">
        <v>114</v>
      </c>
      <c r="J81" s="3" t="s">
        <v>114</v>
      </c>
      <c r="S81" s="3" t="s">
        <v>114</v>
      </c>
      <c r="AA81" s="13" t="s">
        <v>114</v>
      </c>
    </row>
    <row r="82" spans="1:27" x14ac:dyDescent="0.25">
      <c r="A82" s="5" t="s">
        <v>115</v>
      </c>
      <c r="B82">
        <v>4.25</v>
      </c>
      <c r="J82" s="3">
        <v>4.67</v>
      </c>
      <c r="R82" s="11">
        <f t="shared" ref="R82:R94" si="5">J82-B82</f>
        <v>0.41999999999999993</v>
      </c>
      <c r="S82" s="3">
        <v>5.68</v>
      </c>
      <c r="AA82" s="16">
        <f t="shared" ref="AA82:AA94" si="6">R82+S82</f>
        <v>6.1</v>
      </c>
    </row>
    <row r="83" spans="1:27" x14ac:dyDescent="0.25">
      <c r="A83" s="5" t="s">
        <v>116</v>
      </c>
      <c r="B83">
        <v>45.23</v>
      </c>
      <c r="J83" s="3">
        <v>45.06</v>
      </c>
      <c r="R83" s="11">
        <f t="shared" si="5"/>
        <v>-0.1699999999999946</v>
      </c>
      <c r="S83" s="3">
        <v>65.67</v>
      </c>
      <c r="AA83" s="16">
        <f t="shared" si="6"/>
        <v>65.5</v>
      </c>
    </row>
    <row r="84" spans="1:27" x14ac:dyDescent="0.25">
      <c r="A84" s="5" t="s">
        <v>117</v>
      </c>
      <c r="B84">
        <v>2.2999999999999998</v>
      </c>
      <c r="J84" s="3">
        <v>1.93</v>
      </c>
      <c r="R84" s="11">
        <f t="shared" si="5"/>
        <v>-0.36999999999999988</v>
      </c>
      <c r="S84" s="3">
        <v>0.42</v>
      </c>
      <c r="AA84" s="16">
        <f t="shared" si="6"/>
        <v>5.00000000000001E-2</v>
      </c>
    </row>
    <row r="85" spans="1:27" x14ac:dyDescent="0.25">
      <c r="A85" s="5" t="s">
        <v>118</v>
      </c>
      <c r="B85">
        <v>48.22</v>
      </c>
      <c r="J85" s="3">
        <v>48.34</v>
      </c>
      <c r="R85" s="11">
        <f t="shared" si="5"/>
        <v>0.12000000000000455</v>
      </c>
      <c r="S85" s="3">
        <v>28.23</v>
      </c>
      <c r="AA85" s="16">
        <f t="shared" si="6"/>
        <v>28.350000000000005</v>
      </c>
    </row>
    <row r="86" spans="1:27" x14ac:dyDescent="0.25">
      <c r="A86" s="5" t="s">
        <v>119</v>
      </c>
      <c r="B86" t="s">
        <v>120</v>
      </c>
      <c r="J86" s="3" t="s">
        <v>120</v>
      </c>
      <c r="S86" s="3" t="s">
        <v>120</v>
      </c>
      <c r="AA86" s="13" t="s">
        <v>120</v>
      </c>
    </row>
    <row r="87" spans="1:27" x14ac:dyDescent="0.25">
      <c r="A87" s="5" t="s">
        <v>121</v>
      </c>
      <c r="B87">
        <v>2050</v>
      </c>
      <c r="J87" s="3">
        <v>2129</v>
      </c>
      <c r="R87" s="11">
        <f t="shared" si="5"/>
        <v>79</v>
      </c>
      <c r="S87" s="3">
        <v>2186</v>
      </c>
      <c r="AA87" s="17">
        <f t="shared" si="6"/>
        <v>2265</v>
      </c>
    </row>
    <row r="88" spans="1:27" x14ac:dyDescent="0.25">
      <c r="A88" s="5" t="s">
        <v>122</v>
      </c>
      <c r="B88">
        <v>2188</v>
      </c>
      <c r="J88" s="3">
        <v>2446</v>
      </c>
      <c r="R88" s="11">
        <f t="shared" si="5"/>
        <v>258</v>
      </c>
      <c r="S88" s="3">
        <v>2306</v>
      </c>
      <c r="AA88" s="17">
        <f t="shared" si="6"/>
        <v>2564</v>
      </c>
    </row>
    <row r="89" spans="1:27" x14ac:dyDescent="0.25">
      <c r="A89" s="5" t="s">
        <v>123</v>
      </c>
      <c r="B89">
        <v>2082</v>
      </c>
      <c r="J89" s="3">
        <v>2157</v>
      </c>
      <c r="R89" s="11">
        <f t="shared" si="5"/>
        <v>75</v>
      </c>
      <c r="S89" s="3">
        <v>2317</v>
      </c>
      <c r="AA89" s="17">
        <f t="shared" si="6"/>
        <v>2392</v>
      </c>
    </row>
    <row r="90" spans="1:27" x14ac:dyDescent="0.25">
      <c r="A90" s="5" t="s">
        <v>124</v>
      </c>
      <c r="B90">
        <v>2083</v>
      </c>
      <c r="J90" s="3">
        <v>2117</v>
      </c>
      <c r="R90" s="11">
        <f t="shared" si="5"/>
        <v>34</v>
      </c>
      <c r="S90" s="3">
        <v>2253</v>
      </c>
      <c r="AA90" s="17">
        <f t="shared" si="6"/>
        <v>2287</v>
      </c>
    </row>
    <row r="91" spans="1:27" x14ac:dyDescent="0.25">
      <c r="A91" s="5" t="s">
        <v>125</v>
      </c>
      <c r="B91">
        <v>2042</v>
      </c>
      <c r="J91" s="3">
        <v>2012</v>
      </c>
      <c r="R91" s="11">
        <f t="shared" si="5"/>
        <v>-30</v>
      </c>
      <c r="S91" s="3">
        <v>1975</v>
      </c>
      <c r="AA91" s="17">
        <f t="shared" si="6"/>
        <v>1945</v>
      </c>
    </row>
    <row r="92" spans="1:27" x14ac:dyDescent="0.25">
      <c r="A92" s="5" t="s">
        <v>126</v>
      </c>
      <c r="B92">
        <v>1999</v>
      </c>
      <c r="J92" s="3">
        <v>2001</v>
      </c>
      <c r="R92" s="11">
        <f t="shared" si="5"/>
        <v>2</v>
      </c>
      <c r="S92" s="3">
        <v>1973</v>
      </c>
      <c r="AA92" s="17">
        <f t="shared" si="6"/>
        <v>1975</v>
      </c>
    </row>
    <row r="93" spans="1:27" x14ac:dyDescent="0.25">
      <c r="A93" s="5" t="s">
        <v>127</v>
      </c>
      <c r="B93">
        <v>1987</v>
      </c>
      <c r="J93" s="3">
        <v>2020</v>
      </c>
      <c r="R93" s="11">
        <f t="shared" si="5"/>
        <v>33</v>
      </c>
      <c r="S93" s="3">
        <v>1970</v>
      </c>
      <c r="AA93" s="17">
        <f t="shared" si="6"/>
        <v>2003</v>
      </c>
    </row>
    <row r="94" spans="1:27" x14ac:dyDescent="0.25">
      <c r="A94" s="5" t="s">
        <v>128</v>
      </c>
      <c r="B94">
        <v>2015</v>
      </c>
      <c r="J94" s="3">
        <v>2023</v>
      </c>
      <c r="R94" s="11">
        <f t="shared" si="5"/>
        <v>8</v>
      </c>
      <c r="S94" s="3">
        <v>1964</v>
      </c>
      <c r="AA94" s="17">
        <f t="shared" si="6"/>
        <v>1972</v>
      </c>
    </row>
    <row r="95" spans="1:27" x14ac:dyDescent="0.25">
      <c r="A95" s="5" t="s">
        <v>129</v>
      </c>
      <c r="B95" t="s">
        <v>130</v>
      </c>
      <c r="C95" t="s">
        <v>131</v>
      </c>
      <c r="D95" t="s">
        <v>132</v>
      </c>
      <c r="E95" t="s">
        <v>133</v>
      </c>
      <c r="F95" t="s">
        <v>134</v>
      </c>
      <c r="G95" t="s">
        <v>135</v>
      </c>
      <c r="H95" t="s">
        <v>136</v>
      </c>
      <c r="I95" t="s">
        <v>137</v>
      </c>
      <c r="J95" s="3" t="s">
        <v>130</v>
      </c>
      <c r="K95" t="s">
        <v>131</v>
      </c>
      <c r="L95" t="s">
        <v>132</v>
      </c>
      <c r="M95" t="s">
        <v>133</v>
      </c>
      <c r="N95" t="s">
        <v>134</v>
      </c>
      <c r="O95" t="s">
        <v>135</v>
      </c>
      <c r="P95" t="s">
        <v>136</v>
      </c>
      <c r="Q95" t="s">
        <v>137</v>
      </c>
      <c r="S95" s="3" t="s">
        <v>130</v>
      </c>
      <c r="T95" s="21" t="s">
        <v>131</v>
      </c>
      <c r="U95" t="s">
        <v>132</v>
      </c>
      <c r="V95" t="s">
        <v>133</v>
      </c>
      <c r="W95" t="s">
        <v>134</v>
      </c>
      <c r="X95" t="s">
        <v>135</v>
      </c>
      <c r="Y95" t="s">
        <v>136</v>
      </c>
      <c r="Z95" t="s">
        <v>137</v>
      </c>
    </row>
    <row r="96" spans="1:27" x14ac:dyDescent="0.25">
      <c r="A96" s="5" t="s">
        <v>138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s="3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s="20"/>
    </row>
    <row r="97" spans="1:26" x14ac:dyDescent="0.25">
      <c r="A97" s="5" t="s">
        <v>139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s="3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s="20"/>
    </row>
    <row r="98" spans="1:26" x14ac:dyDescent="0.25">
      <c r="A98" s="5" t="s">
        <v>140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s="3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 s="20"/>
    </row>
    <row r="99" spans="1:26" x14ac:dyDescent="0.25">
      <c r="A99" s="5" t="s">
        <v>141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s="3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 s="20"/>
    </row>
    <row r="100" spans="1:26" x14ac:dyDescent="0.25">
      <c r="A100" s="5" t="s">
        <v>142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s="3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s="20"/>
      <c r="S100" s="3">
        <v>0</v>
      </c>
      <c r="T100" s="21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 x14ac:dyDescent="0.25">
      <c r="A101" s="5" t="s">
        <v>143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 s="3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s="20"/>
      <c r="S101" s="3">
        <v>0</v>
      </c>
      <c r="T101" s="2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25">
      <c r="A102" s="5" t="s">
        <v>144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s="3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s="20"/>
      <c r="S102" s="3">
        <v>0</v>
      </c>
      <c r="T102" s="21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25">
      <c r="A103" s="5" t="s">
        <v>145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s="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s="20"/>
      <c r="S103" s="3">
        <v>0</v>
      </c>
      <c r="T103" s="21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25">
      <c r="A104" s="5" t="s">
        <v>146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s="3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s="20"/>
      <c r="S104" s="3">
        <v>0</v>
      </c>
      <c r="T104" s="21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 x14ac:dyDescent="0.25">
      <c r="A105" s="5" t="s">
        <v>147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s="3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 s="20"/>
      <c r="S105" s="3">
        <v>0</v>
      </c>
      <c r="T105" s="21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 x14ac:dyDescent="0.25">
      <c r="A106" s="5" t="s">
        <v>148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 s="3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s="20"/>
      <c r="S106" s="3">
        <v>0</v>
      </c>
      <c r="T106" s="21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 x14ac:dyDescent="0.25">
      <c r="A107" s="5" t="s">
        <v>149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 s="3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 s="20"/>
      <c r="S107" s="3">
        <v>0</v>
      </c>
      <c r="T107" s="21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 x14ac:dyDescent="0.25">
      <c r="A108" s="5" t="s">
        <v>150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s="3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 s="20"/>
      <c r="S108" s="3">
        <v>0</v>
      </c>
      <c r="T108" s="21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 x14ac:dyDescent="0.25">
      <c r="A109" s="5" t="s">
        <v>151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 s="3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s="20"/>
      <c r="S109" s="3">
        <v>0</v>
      </c>
      <c r="T109" s="21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 x14ac:dyDescent="0.25">
      <c r="A110" s="5" t="s">
        <v>152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s="3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s="20"/>
      <c r="S110" s="3">
        <v>0</v>
      </c>
      <c r="T110" s="21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 x14ac:dyDescent="0.25">
      <c r="A111" s="5" t="s">
        <v>153</v>
      </c>
      <c r="B111">
        <v>0</v>
      </c>
      <c r="C111">
        <v>7.0000000000000007E-2</v>
      </c>
      <c r="D111">
        <v>0</v>
      </c>
      <c r="E111">
        <v>0.01</v>
      </c>
      <c r="F111">
        <v>0</v>
      </c>
      <c r="G111">
        <v>0</v>
      </c>
      <c r="H111">
        <v>0</v>
      </c>
      <c r="I111">
        <v>0</v>
      </c>
      <c r="J111" s="3">
        <v>0</v>
      </c>
      <c r="K111">
        <v>0.44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s="20"/>
      <c r="S111" s="3">
        <v>0</v>
      </c>
      <c r="T111" s="2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 x14ac:dyDescent="0.25">
      <c r="A112" s="5" t="s">
        <v>154</v>
      </c>
      <c r="B112">
        <v>0.02</v>
      </c>
      <c r="C112">
        <v>0.04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s="3">
        <v>0.05</v>
      </c>
      <c r="K112">
        <v>0.22</v>
      </c>
      <c r="L112">
        <v>0.02</v>
      </c>
      <c r="M112">
        <v>0</v>
      </c>
      <c r="N112">
        <v>0</v>
      </c>
      <c r="O112">
        <v>0</v>
      </c>
      <c r="P112">
        <v>0</v>
      </c>
      <c r="Q112">
        <v>0</v>
      </c>
      <c r="R112" s="20"/>
      <c r="S112" s="3">
        <v>0</v>
      </c>
      <c r="T112" s="21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 x14ac:dyDescent="0.25">
      <c r="A113" s="5" t="s">
        <v>155</v>
      </c>
      <c r="B113">
        <v>0.01</v>
      </c>
      <c r="C113">
        <v>0.06</v>
      </c>
      <c r="D113">
        <v>0.04</v>
      </c>
      <c r="E113">
        <v>0.04</v>
      </c>
      <c r="F113">
        <v>0</v>
      </c>
      <c r="G113">
        <v>0</v>
      </c>
      <c r="H113">
        <v>0</v>
      </c>
      <c r="I113">
        <v>0</v>
      </c>
      <c r="J113" s="3">
        <v>0.03</v>
      </c>
      <c r="K113">
        <v>0.06</v>
      </c>
      <c r="L113">
        <v>0.1</v>
      </c>
      <c r="M113">
        <v>0.04</v>
      </c>
      <c r="N113">
        <v>0</v>
      </c>
      <c r="O113">
        <v>0</v>
      </c>
      <c r="P113">
        <v>0</v>
      </c>
      <c r="Q113">
        <v>0</v>
      </c>
      <c r="R113" s="20"/>
      <c r="S113" s="3">
        <v>0</v>
      </c>
      <c r="T113" s="21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 x14ac:dyDescent="0.25">
      <c r="A114" s="5" t="s">
        <v>156</v>
      </c>
      <c r="B114">
        <v>0.01</v>
      </c>
      <c r="C114">
        <v>0.02</v>
      </c>
      <c r="D114">
        <v>0.04</v>
      </c>
      <c r="E114">
        <v>0.01</v>
      </c>
      <c r="F114">
        <v>0</v>
      </c>
      <c r="G114">
        <v>0</v>
      </c>
      <c r="H114">
        <v>0</v>
      </c>
      <c r="I114">
        <v>0</v>
      </c>
      <c r="J114" s="3">
        <v>0.06</v>
      </c>
      <c r="K114">
        <v>0.15</v>
      </c>
      <c r="L114">
        <v>0.02</v>
      </c>
      <c r="M114">
        <v>0.08</v>
      </c>
      <c r="N114">
        <v>0</v>
      </c>
      <c r="O114">
        <v>0</v>
      </c>
      <c r="P114">
        <v>0</v>
      </c>
      <c r="Q114">
        <v>0</v>
      </c>
      <c r="R114" s="20"/>
      <c r="S114" s="3">
        <v>0.04</v>
      </c>
      <c r="T114" s="21">
        <v>0.02</v>
      </c>
      <c r="U114">
        <v>7.0000000000000007E-2</v>
      </c>
      <c r="V114">
        <v>0.04</v>
      </c>
      <c r="W114">
        <v>0</v>
      </c>
      <c r="X114">
        <v>0</v>
      </c>
      <c r="Y114">
        <v>0</v>
      </c>
      <c r="Z114">
        <v>0</v>
      </c>
    </row>
    <row r="115" spans="1:26" x14ac:dyDescent="0.25">
      <c r="A115" s="5" t="s">
        <v>157</v>
      </c>
      <c r="B115">
        <v>0.02</v>
      </c>
      <c r="C115">
        <v>7.0000000000000007E-2</v>
      </c>
      <c r="D115">
        <v>0.01</v>
      </c>
      <c r="E115">
        <v>0.01</v>
      </c>
      <c r="F115">
        <v>0</v>
      </c>
      <c r="G115">
        <v>0</v>
      </c>
      <c r="H115">
        <v>0</v>
      </c>
      <c r="I115">
        <v>0</v>
      </c>
      <c r="J115" s="3">
        <v>0.05</v>
      </c>
      <c r="K115">
        <v>0.04</v>
      </c>
      <c r="L115">
        <v>0.05</v>
      </c>
      <c r="M115">
        <v>0.02</v>
      </c>
      <c r="N115">
        <v>0</v>
      </c>
      <c r="O115">
        <v>0</v>
      </c>
      <c r="P115">
        <v>0</v>
      </c>
      <c r="Q115">
        <v>0</v>
      </c>
      <c r="R115" s="20"/>
      <c r="S115" s="3">
        <v>0.65</v>
      </c>
      <c r="T115" s="21">
        <v>0.77</v>
      </c>
      <c r="U115">
        <v>0.77</v>
      </c>
      <c r="V115">
        <v>0.51</v>
      </c>
      <c r="W115">
        <v>0</v>
      </c>
      <c r="X115">
        <v>0</v>
      </c>
      <c r="Y115">
        <v>0</v>
      </c>
      <c r="Z115">
        <v>0</v>
      </c>
    </row>
    <row r="116" spans="1:26" x14ac:dyDescent="0.25">
      <c r="A116" s="5" t="s">
        <v>158</v>
      </c>
      <c r="B116">
        <v>0.03</v>
      </c>
      <c r="C116">
        <v>0.03</v>
      </c>
      <c r="D116">
        <v>0.05</v>
      </c>
      <c r="E116">
        <v>0.09</v>
      </c>
      <c r="F116">
        <v>0</v>
      </c>
      <c r="G116">
        <v>0</v>
      </c>
      <c r="H116">
        <v>0</v>
      </c>
      <c r="I116">
        <v>0</v>
      </c>
      <c r="J116" s="3">
        <v>0.06</v>
      </c>
      <c r="K116">
        <v>0.05</v>
      </c>
      <c r="L116">
        <v>0.02</v>
      </c>
      <c r="M116">
        <v>0.03</v>
      </c>
      <c r="N116">
        <v>0</v>
      </c>
      <c r="O116">
        <v>0</v>
      </c>
      <c r="P116">
        <v>0</v>
      </c>
      <c r="Q116">
        <v>0</v>
      </c>
      <c r="R116" s="20"/>
      <c r="S116" s="3">
        <v>0.42</v>
      </c>
      <c r="T116" s="21">
        <v>0.42</v>
      </c>
      <c r="U116">
        <v>0.43</v>
      </c>
      <c r="V116">
        <v>0.42</v>
      </c>
      <c r="W116">
        <v>0</v>
      </c>
      <c r="X116">
        <v>0</v>
      </c>
      <c r="Y116">
        <v>0</v>
      </c>
      <c r="Z116">
        <v>0</v>
      </c>
    </row>
    <row r="117" spans="1:26" x14ac:dyDescent="0.25">
      <c r="A117" s="5" t="s">
        <v>159</v>
      </c>
      <c r="B117">
        <v>0.04</v>
      </c>
      <c r="C117">
        <v>0.03</v>
      </c>
      <c r="D117">
        <v>0</v>
      </c>
      <c r="E117">
        <v>0.02</v>
      </c>
      <c r="F117">
        <v>0</v>
      </c>
      <c r="G117">
        <v>0</v>
      </c>
      <c r="H117">
        <v>0</v>
      </c>
      <c r="I117">
        <v>0</v>
      </c>
      <c r="J117" s="3">
        <v>0.03</v>
      </c>
      <c r="K117">
        <v>0.03</v>
      </c>
      <c r="L117">
        <v>0.06</v>
      </c>
      <c r="M117">
        <v>0.03</v>
      </c>
      <c r="N117">
        <v>0</v>
      </c>
      <c r="O117">
        <v>0</v>
      </c>
      <c r="P117">
        <v>0</v>
      </c>
      <c r="Q117">
        <v>0</v>
      </c>
      <c r="R117" s="20"/>
      <c r="S117" s="3">
        <v>0.27</v>
      </c>
      <c r="T117" s="21">
        <v>0.21</v>
      </c>
      <c r="U117">
        <v>0.26</v>
      </c>
      <c r="V117">
        <v>0.25</v>
      </c>
      <c r="W117">
        <v>0</v>
      </c>
      <c r="X117">
        <v>0</v>
      </c>
      <c r="Y117">
        <v>0</v>
      </c>
      <c r="Z117">
        <v>0</v>
      </c>
    </row>
    <row r="118" spans="1:26" x14ac:dyDescent="0.25">
      <c r="A118" s="5" t="s">
        <v>160</v>
      </c>
      <c r="B118">
        <v>0.04</v>
      </c>
      <c r="C118">
        <v>0.01</v>
      </c>
      <c r="D118">
        <v>0.01</v>
      </c>
      <c r="E118">
        <v>0.02</v>
      </c>
      <c r="F118">
        <v>0</v>
      </c>
      <c r="G118">
        <v>0</v>
      </c>
      <c r="H118">
        <v>0</v>
      </c>
      <c r="I118">
        <v>0</v>
      </c>
      <c r="J118" s="3">
        <v>7.0000000000000007E-2</v>
      </c>
      <c r="K118">
        <v>0.06</v>
      </c>
      <c r="L118">
        <v>0.03</v>
      </c>
      <c r="M118">
        <v>0.04</v>
      </c>
      <c r="N118">
        <v>0</v>
      </c>
      <c r="O118">
        <v>0</v>
      </c>
      <c r="P118">
        <v>0</v>
      </c>
      <c r="Q118">
        <v>0</v>
      </c>
      <c r="R118" s="20"/>
      <c r="S118" s="3">
        <v>0.11</v>
      </c>
      <c r="T118" s="21">
        <v>0.14000000000000001</v>
      </c>
      <c r="U118">
        <v>0.23</v>
      </c>
      <c r="V118">
        <v>0.1</v>
      </c>
      <c r="W118">
        <v>0</v>
      </c>
      <c r="X118">
        <v>0</v>
      </c>
      <c r="Y118">
        <v>0</v>
      </c>
      <c r="Z118">
        <v>0</v>
      </c>
    </row>
    <row r="119" spans="1:26" x14ac:dyDescent="0.25">
      <c r="A119" s="5" t="s">
        <v>161</v>
      </c>
      <c r="B119">
        <v>0</v>
      </c>
      <c r="C119">
        <v>0.02</v>
      </c>
      <c r="D119">
        <v>0.03</v>
      </c>
      <c r="E119">
        <v>0.02</v>
      </c>
      <c r="F119">
        <v>0</v>
      </c>
      <c r="G119">
        <v>0</v>
      </c>
      <c r="H119">
        <v>0</v>
      </c>
      <c r="I119">
        <v>0</v>
      </c>
      <c r="J119" s="3">
        <v>0.04</v>
      </c>
      <c r="K119">
        <v>0.08</v>
      </c>
      <c r="L119">
        <v>0.05</v>
      </c>
      <c r="M119">
        <v>0.05</v>
      </c>
      <c r="N119">
        <v>0</v>
      </c>
      <c r="O119">
        <v>0</v>
      </c>
      <c r="P119">
        <v>0</v>
      </c>
      <c r="Q119">
        <v>0</v>
      </c>
      <c r="R119" s="20"/>
      <c r="S119" s="3">
        <v>0.17</v>
      </c>
      <c r="T119" s="21">
        <v>0.24</v>
      </c>
      <c r="U119">
        <v>0.2</v>
      </c>
      <c r="V119">
        <v>0.17</v>
      </c>
      <c r="W119">
        <v>0</v>
      </c>
      <c r="X119">
        <v>0</v>
      </c>
      <c r="Y119">
        <v>0</v>
      </c>
      <c r="Z119">
        <v>0</v>
      </c>
    </row>
    <row r="120" spans="1:26" x14ac:dyDescent="0.25">
      <c r="A120" s="5" t="s">
        <v>162</v>
      </c>
      <c r="B120">
        <v>0.04</v>
      </c>
      <c r="C120">
        <v>0.06</v>
      </c>
      <c r="D120">
        <v>0.06</v>
      </c>
      <c r="E120">
        <v>0.03</v>
      </c>
      <c r="F120">
        <v>0.14000000000000001</v>
      </c>
      <c r="G120">
        <v>0</v>
      </c>
      <c r="H120">
        <v>0.01</v>
      </c>
      <c r="I120">
        <v>0.22</v>
      </c>
      <c r="J120" s="3">
        <v>7.0000000000000007E-2</v>
      </c>
      <c r="K120">
        <v>0.09</v>
      </c>
      <c r="L120">
        <v>0.06</v>
      </c>
      <c r="M120">
        <v>0.1</v>
      </c>
      <c r="N120">
        <v>0.1</v>
      </c>
      <c r="O120">
        <v>0.02</v>
      </c>
      <c r="P120">
        <v>0.11</v>
      </c>
      <c r="Q120">
        <v>7.0000000000000007E-2</v>
      </c>
      <c r="R120" s="20"/>
      <c r="S120" s="3">
        <v>0.12</v>
      </c>
      <c r="T120" s="21">
        <v>0.16</v>
      </c>
      <c r="U120">
        <v>0.15</v>
      </c>
      <c r="V120">
        <v>0.2</v>
      </c>
      <c r="W120">
        <v>0</v>
      </c>
      <c r="X120">
        <v>0</v>
      </c>
      <c r="Y120">
        <v>0</v>
      </c>
      <c r="Z120">
        <v>0</v>
      </c>
    </row>
    <row r="121" spans="1:26" x14ac:dyDescent="0.25">
      <c r="A121" s="5" t="s">
        <v>163</v>
      </c>
      <c r="B121">
        <v>0.05</v>
      </c>
      <c r="C121">
        <v>0.04</v>
      </c>
      <c r="D121">
        <v>0.05</v>
      </c>
      <c r="E121">
        <v>0.06</v>
      </c>
      <c r="F121">
        <v>2.2999999999999998</v>
      </c>
      <c r="G121">
        <v>1.89</v>
      </c>
      <c r="H121">
        <v>1.45</v>
      </c>
      <c r="I121">
        <v>1.82</v>
      </c>
      <c r="J121" s="3">
        <v>0.09</v>
      </c>
      <c r="K121">
        <v>0.13</v>
      </c>
      <c r="L121">
        <v>0.12</v>
      </c>
      <c r="M121">
        <v>0.04</v>
      </c>
      <c r="N121">
        <v>1.61</v>
      </c>
      <c r="O121">
        <v>1.64</v>
      </c>
      <c r="P121">
        <v>1.58</v>
      </c>
      <c r="Q121">
        <v>1.71</v>
      </c>
      <c r="R121" s="20"/>
      <c r="S121" s="3">
        <v>0.2</v>
      </c>
      <c r="T121" s="21">
        <v>0.24</v>
      </c>
      <c r="U121">
        <v>0.21</v>
      </c>
      <c r="V121">
        <v>0.21</v>
      </c>
      <c r="W121">
        <v>0</v>
      </c>
      <c r="X121">
        <v>0</v>
      </c>
      <c r="Y121">
        <v>0</v>
      </c>
      <c r="Z121">
        <v>0</v>
      </c>
    </row>
    <row r="122" spans="1:26" x14ac:dyDescent="0.25">
      <c r="A122" s="5" t="s">
        <v>164</v>
      </c>
      <c r="B122">
        <v>0.1</v>
      </c>
      <c r="C122">
        <v>0.12</v>
      </c>
      <c r="D122">
        <v>0.09</v>
      </c>
      <c r="E122">
        <v>0.1</v>
      </c>
      <c r="F122">
        <v>2.92</v>
      </c>
      <c r="G122">
        <v>2.73</v>
      </c>
      <c r="H122">
        <v>3.05</v>
      </c>
      <c r="I122">
        <v>3.21</v>
      </c>
      <c r="J122" s="3">
        <v>7.0000000000000007E-2</v>
      </c>
      <c r="K122">
        <v>0.11</v>
      </c>
      <c r="L122">
        <v>7.0000000000000007E-2</v>
      </c>
      <c r="M122">
        <v>0.09</v>
      </c>
      <c r="N122">
        <v>2.63</v>
      </c>
      <c r="O122">
        <v>2.82</v>
      </c>
      <c r="P122">
        <v>2.86</v>
      </c>
      <c r="Q122">
        <v>3.01</v>
      </c>
      <c r="R122" s="20"/>
      <c r="S122" s="3">
        <v>0.13</v>
      </c>
      <c r="T122" s="21">
        <v>0.14000000000000001</v>
      </c>
      <c r="U122">
        <v>0.23</v>
      </c>
      <c r="V122">
        <v>0.19</v>
      </c>
      <c r="W122">
        <v>0</v>
      </c>
      <c r="X122">
        <v>0</v>
      </c>
      <c r="Y122">
        <v>0</v>
      </c>
      <c r="Z122">
        <v>0</v>
      </c>
    </row>
    <row r="123" spans="1:26" x14ac:dyDescent="0.25">
      <c r="A123" s="5" t="s">
        <v>165</v>
      </c>
      <c r="B123">
        <v>0.12</v>
      </c>
      <c r="C123">
        <v>0.15</v>
      </c>
      <c r="D123">
        <v>0.05</v>
      </c>
      <c r="E123">
        <v>0.12</v>
      </c>
      <c r="F123">
        <v>1.18</v>
      </c>
      <c r="G123">
        <v>1.25</v>
      </c>
      <c r="H123">
        <v>1.1399999999999999</v>
      </c>
      <c r="I123">
        <v>1.29</v>
      </c>
      <c r="J123" s="3">
        <v>0.12</v>
      </c>
      <c r="K123">
        <v>0.15</v>
      </c>
      <c r="L123">
        <v>0.13</v>
      </c>
      <c r="M123">
        <v>0.08</v>
      </c>
      <c r="N123">
        <v>1.53</v>
      </c>
      <c r="O123">
        <v>1.49</v>
      </c>
      <c r="P123">
        <v>1.56</v>
      </c>
      <c r="Q123">
        <v>1.54</v>
      </c>
      <c r="R123" s="20"/>
      <c r="S123" s="3">
        <v>0.2</v>
      </c>
      <c r="T123" s="21">
        <v>0.28999999999999998</v>
      </c>
      <c r="U123">
        <v>0.2</v>
      </c>
      <c r="V123">
        <v>0.27</v>
      </c>
      <c r="W123">
        <v>7.3</v>
      </c>
      <c r="X123">
        <v>7.09</v>
      </c>
      <c r="Y123">
        <v>7.28</v>
      </c>
      <c r="Z123">
        <v>7.54</v>
      </c>
    </row>
    <row r="124" spans="1:26" x14ac:dyDescent="0.25">
      <c r="A124" s="5" t="s">
        <v>166</v>
      </c>
      <c r="B124">
        <v>0.19</v>
      </c>
      <c r="C124">
        <v>0.26</v>
      </c>
      <c r="D124">
        <v>0.16</v>
      </c>
      <c r="E124">
        <v>0.15</v>
      </c>
      <c r="F124">
        <v>1.1100000000000001</v>
      </c>
      <c r="G124">
        <v>1.1200000000000001</v>
      </c>
      <c r="H124">
        <v>1.24</v>
      </c>
      <c r="I124">
        <v>1.18</v>
      </c>
      <c r="J124" s="3">
        <v>0.31</v>
      </c>
      <c r="K124">
        <v>0.22</v>
      </c>
      <c r="L124">
        <v>0.15</v>
      </c>
      <c r="M124">
        <v>0.13</v>
      </c>
      <c r="N124">
        <v>1.19</v>
      </c>
      <c r="O124">
        <v>1.33</v>
      </c>
      <c r="P124">
        <v>1.28</v>
      </c>
      <c r="Q124">
        <v>1.32</v>
      </c>
      <c r="R124" s="20"/>
      <c r="S124" s="3">
        <v>0.17</v>
      </c>
      <c r="T124" s="21">
        <v>0.24</v>
      </c>
      <c r="U124">
        <v>0.32</v>
      </c>
      <c r="V124">
        <v>0.26</v>
      </c>
      <c r="W124">
        <v>3.88</v>
      </c>
      <c r="X124">
        <v>3.61</v>
      </c>
      <c r="Y124">
        <v>3.87</v>
      </c>
      <c r="Z124">
        <v>3.9</v>
      </c>
    </row>
    <row r="125" spans="1:26" x14ac:dyDescent="0.25">
      <c r="A125" s="5" t="s">
        <v>167</v>
      </c>
      <c r="B125">
        <v>0.32</v>
      </c>
      <c r="C125">
        <v>0.4</v>
      </c>
      <c r="D125">
        <v>0.4</v>
      </c>
      <c r="E125">
        <v>0.31</v>
      </c>
      <c r="F125">
        <v>1.82</v>
      </c>
      <c r="G125">
        <v>1.54</v>
      </c>
      <c r="H125">
        <v>1.45</v>
      </c>
      <c r="I125">
        <v>1.68</v>
      </c>
      <c r="J125" s="3">
        <v>0.23</v>
      </c>
      <c r="K125">
        <v>0.3</v>
      </c>
      <c r="L125">
        <v>0.37</v>
      </c>
      <c r="M125">
        <v>0.36</v>
      </c>
      <c r="N125">
        <v>1.77</v>
      </c>
      <c r="O125">
        <v>1.7</v>
      </c>
      <c r="P125">
        <v>1.76</v>
      </c>
      <c r="Q125">
        <v>2</v>
      </c>
      <c r="R125" s="20"/>
      <c r="S125" s="3">
        <v>0.17</v>
      </c>
      <c r="T125" s="21">
        <v>0.18</v>
      </c>
      <c r="U125">
        <v>0.2</v>
      </c>
      <c r="V125">
        <v>0.22</v>
      </c>
      <c r="W125">
        <v>3.42</v>
      </c>
      <c r="X125">
        <v>3.37</v>
      </c>
      <c r="Y125">
        <v>3.57</v>
      </c>
      <c r="Z125">
        <v>3.48</v>
      </c>
    </row>
    <row r="126" spans="1:26" x14ac:dyDescent="0.25">
      <c r="A126" s="5" t="s">
        <v>168</v>
      </c>
      <c r="B126">
        <v>0.41</v>
      </c>
      <c r="C126">
        <v>0.4</v>
      </c>
      <c r="D126">
        <v>0.44</v>
      </c>
      <c r="E126">
        <v>0.59</v>
      </c>
      <c r="F126">
        <v>2.75</v>
      </c>
      <c r="G126">
        <v>3.19</v>
      </c>
      <c r="H126">
        <v>2.87</v>
      </c>
      <c r="I126">
        <v>3.46</v>
      </c>
      <c r="J126" s="3">
        <v>0.51</v>
      </c>
      <c r="K126">
        <v>0.5</v>
      </c>
      <c r="L126">
        <v>0.46</v>
      </c>
      <c r="M126">
        <v>0.44</v>
      </c>
      <c r="N126">
        <v>2.67</v>
      </c>
      <c r="O126">
        <v>2.58</v>
      </c>
      <c r="P126">
        <v>3.02</v>
      </c>
      <c r="Q126">
        <v>3.03</v>
      </c>
      <c r="R126" s="20"/>
      <c r="S126" s="3">
        <v>0.18</v>
      </c>
      <c r="T126" s="21">
        <v>0.21</v>
      </c>
      <c r="U126">
        <v>0.31</v>
      </c>
      <c r="V126">
        <v>0.22</v>
      </c>
      <c r="W126">
        <v>3.65</v>
      </c>
      <c r="X126">
        <v>4.24</v>
      </c>
      <c r="Y126">
        <v>4.07</v>
      </c>
      <c r="Z126">
        <v>5.2</v>
      </c>
    </row>
    <row r="127" spans="1:26" x14ac:dyDescent="0.25">
      <c r="A127" s="5" t="s">
        <v>169</v>
      </c>
      <c r="B127">
        <v>0.56000000000000005</v>
      </c>
      <c r="C127">
        <v>0.42</v>
      </c>
      <c r="D127">
        <v>0.51</v>
      </c>
      <c r="E127">
        <v>0.56999999999999995</v>
      </c>
      <c r="F127">
        <v>1.48</v>
      </c>
      <c r="G127">
        <v>1.38</v>
      </c>
      <c r="H127">
        <v>1.47</v>
      </c>
      <c r="I127">
        <v>1.66</v>
      </c>
      <c r="J127" s="3">
        <v>0.56000000000000005</v>
      </c>
      <c r="K127">
        <v>0.4</v>
      </c>
      <c r="L127">
        <v>0.51</v>
      </c>
      <c r="M127">
        <v>0.65</v>
      </c>
      <c r="N127">
        <v>1.21</v>
      </c>
      <c r="O127">
        <v>1.42</v>
      </c>
      <c r="P127">
        <v>1.36</v>
      </c>
      <c r="Q127">
        <v>1.49</v>
      </c>
      <c r="R127" s="20"/>
      <c r="S127" s="3">
        <v>0.27</v>
      </c>
      <c r="T127" s="21">
        <v>0.18</v>
      </c>
      <c r="U127">
        <v>0.22</v>
      </c>
      <c r="V127">
        <v>0.24</v>
      </c>
      <c r="W127">
        <v>1.65</v>
      </c>
      <c r="X127">
        <v>1.66</v>
      </c>
      <c r="Y127">
        <v>2.1</v>
      </c>
      <c r="Z127">
        <v>1.93</v>
      </c>
    </row>
    <row r="128" spans="1:26" x14ac:dyDescent="0.25">
      <c r="A128" s="5" t="s">
        <v>170</v>
      </c>
      <c r="B128">
        <v>0.31</v>
      </c>
      <c r="C128">
        <v>0.24</v>
      </c>
      <c r="D128">
        <v>0.27</v>
      </c>
      <c r="E128">
        <v>0.21</v>
      </c>
      <c r="F128">
        <v>1.27</v>
      </c>
      <c r="G128">
        <v>1.42</v>
      </c>
      <c r="H128">
        <v>1.36</v>
      </c>
      <c r="I128">
        <v>1.53</v>
      </c>
      <c r="J128" s="3">
        <v>0.38</v>
      </c>
      <c r="K128">
        <v>0.24</v>
      </c>
      <c r="L128">
        <v>0.28999999999999998</v>
      </c>
      <c r="M128">
        <v>0.27</v>
      </c>
      <c r="N128">
        <v>1.1399999999999999</v>
      </c>
      <c r="O128">
        <v>1.27</v>
      </c>
      <c r="P128">
        <v>1.31</v>
      </c>
      <c r="Q128">
        <v>1.35</v>
      </c>
      <c r="R128" s="20"/>
      <c r="S128" s="3">
        <v>0.19</v>
      </c>
      <c r="T128" s="21">
        <v>0.24</v>
      </c>
      <c r="U128">
        <v>0.24</v>
      </c>
      <c r="V128">
        <v>0.18</v>
      </c>
      <c r="W128">
        <v>1.64</v>
      </c>
      <c r="X128">
        <v>1.69</v>
      </c>
      <c r="Y128">
        <v>1.81</v>
      </c>
      <c r="Z128">
        <v>1.67</v>
      </c>
    </row>
    <row r="129" spans="1:26" x14ac:dyDescent="0.25">
      <c r="A129" s="5" t="s">
        <v>171</v>
      </c>
      <c r="B129">
        <v>0.52</v>
      </c>
      <c r="C129">
        <v>0.41</v>
      </c>
      <c r="D129">
        <v>0.46</v>
      </c>
      <c r="E129">
        <v>0.56999999999999995</v>
      </c>
      <c r="F129">
        <v>1.19</v>
      </c>
      <c r="G129">
        <v>1.39</v>
      </c>
      <c r="H129">
        <v>1.54</v>
      </c>
      <c r="I129">
        <v>1.57</v>
      </c>
      <c r="J129" s="3">
        <v>0.39</v>
      </c>
      <c r="K129">
        <v>0.38</v>
      </c>
      <c r="L129">
        <v>0.41</v>
      </c>
      <c r="M129">
        <v>0.46</v>
      </c>
      <c r="N129">
        <v>1.36</v>
      </c>
      <c r="O129">
        <v>1.62</v>
      </c>
      <c r="P129">
        <v>1.44</v>
      </c>
      <c r="Q129">
        <v>1.39</v>
      </c>
      <c r="R129" s="20"/>
      <c r="S129" s="3">
        <v>0.19</v>
      </c>
      <c r="T129" s="21">
        <v>0.18</v>
      </c>
      <c r="U129">
        <v>0.22</v>
      </c>
      <c r="V129">
        <v>0.18</v>
      </c>
      <c r="W129">
        <v>2.41</v>
      </c>
      <c r="X129">
        <v>2.4500000000000002</v>
      </c>
      <c r="Y129">
        <v>2.41</v>
      </c>
      <c r="Z129">
        <v>2.57</v>
      </c>
    </row>
    <row r="130" spans="1:26" x14ac:dyDescent="0.25">
      <c r="A130" s="5" t="s">
        <v>172</v>
      </c>
      <c r="B130">
        <v>0.12</v>
      </c>
      <c r="C130">
        <v>0.1</v>
      </c>
      <c r="D130">
        <v>0.11</v>
      </c>
      <c r="E130">
        <v>7.0000000000000007E-2</v>
      </c>
      <c r="F130">
        <v>1.63</v>
      </c>
      <c r="G130">
        <v>1.75</v>
      </c>
      <c r="H130">
        <v>1.78</v>
      </c>
      <c r="I130">
        <v>1.82</v>
      </c>
      <c r="J130" s="3">
        <v>0.14000000000000001</v>
      </c>
      <c r="K130">
        <v>0.08</v>
      </c>
      <c r="L130">
        <v>0.06</v>
      </c>
      <c r="M130">
        <v>0.06</v>
      </c>
      <c r="N130">
        <v>1.93</v>
      </c>
      <c r="O130">
        <v>1.99</v>
      </c>
      <c r="P130">
        <v>2.0099999999999998</v>
      </c>
      <c r="Q130">
        <v>1.91</v>
      </c>
      <c r="R130" s="20"/>
      <c r="S130" s="3">
        <v>0.22</v>
      </c>
      <c r="T130" s="21">
        <v>0.28999999999999998</v>
      </c>
      <c r="U130">
        <v>0.19</v>
      </c>
      <c r="V130">
        <v>0.28999999999999998</v>
      </c>
      <c r="W130">
        <v>4</v>
      </c>
      <c r="X130">
        <v>3.72</v>
      </c>
      <c r="Y130">
        <v>4.1399999999999997</v>
      </c>
      <c r="Z130">
        <v>4.51</v>
      </c>
    </row>
    <row r="131" spans="1:26" x14ac:dyDescent="0.25">
      <c r="A131" s="5" t="s">
        <v>173</v>
      </c>
      <c r="B131">
        <v>7.0000000000000007E-2</v>
      </c>
      <c r="C131">
        <v>0.02</v>
      </c>
      <c r="D131">
        <v>0.01</v>
      </c>
      <c r="E131">
        <v>0.03</v>
      </c>
      <c r="F131">
        <v>1.1200000000000001</v>
      </c>
      <c r="G131">
        <v>1.17</v>
      </c>
      <c r="H131">
        <v>1.21</v>
      </c>
      <c r="I131">
        <v>1.27</v>
      </c>
      <c r="J131" s="3">
        <v>0.09</v>
      </c>
      <c r="K131">
        <v>0.03</v>
      </c>
      <c r="L131">
        <v>0.05</v>
      </c>
      <c r="M131">
        <v>0.06</v>
      </c>
      <c r="N131">
        <v>1.2</v>
      </c>
      <c r="O131">
        <v>1.22</v>
      </c>
      <c r="P131">
        <v>1.1499999999999999</v>
      </c>
      <c r="Q131">
        <v>1.3</v>
      </c>
      <c r="R131" s="20"/>
      <c r="S131" s="3">
        <v>0.35</v>
      </c>
      <c r="T131" s="21">
        <v>0.25</v>
      </c>
      <c r="U131">
        <v>0.28999999999999998</v>
      </c>
      <c r="V131">
        <v>0.28999999999999998</v>
      </c>
      <c r="W131">
        <v>1.77</v>
      </c>
      <c r="X131">
        <v>1.95</v>
      </c>
      <c r="Y131">
        <v>2.14</v>
      </c>
      <c r="Z131">
        <v>2.11</v>
      </c>
    </row>
    <row r="132" spans="1:26" x14ac:dyDescent="0.25">
      <c r="A132" s="5" t="s">
        <v>174</v>
      </c>
      <c r="B132">
        <v>0.04</v>
      </c>
      <c r="C132">
        <v>0.02</v>
      </c>
      <c r="D132">
        <v>0.03</v>
      </c>
      <c r="E132">
        <v>0.02</v>
      </c>
      <c r="F132">
        <v>0.59</v>
      </c>
      <c r="G132">
        <v>0.63</v>
      </c>
      <c r="H132">
        <v>0.77</v>
      </c>
      <c r="I132">
        <v>0.84</v>
      </c>
      <c r="J132" s="3">
        <v>0.02</v>
      </c>
      <c r="K132">
        <v>0</v>
      </c>
      <c r="L132">
        <v>0</v>
      </c>
      <c r="M132">
        <v>0</v>
      </c>
      <c r="N132">
        <v>0.68</v>
      </c>
      <c r="O132">
        <v>0.79</v>
      </c>
      <c r="P132">
        <v>0.7</v>
      </c>
      <c r="Q132">
        <v>0.57999999999999996</v>
      </c>
      <c r="R132" s="20"/>
      <c r="S132" s="3">
        <v>0.24</v>
      </c>
      <c r="T132" s="21">
        <v>0.22</v>
      </c>
      <c r="U132">
        <v>0.33</v>
      </c>
      <c r="V132">
        <v>0.24</v>
      </c>
      <c r="W132">
        <v>1.67</v>
      </c>
      <c r="X132">
        <v>1.62</v>
      </c>
      <c r="Y132">
        <v>1.71</v>
      </c>
      <c r="Z132">
        <v>1.95</v>
      </c>
    </row>
    <row r="133" spans="1:26" x14ac:dyDescent="0.25">
      <c r="A133" s="5" t="s">
        <v>175</v>
      </c>
      <c r="B133">
        <v>0</v>
      </c>
      <c r="C133">
        <v>0</v>
      </c>
      <c r="D133">
        <v>0</v>
      </c>
      <c r="E133">
        <v>0</v>
      </c>
      <c r="F133">
        <v>0.62</v>
      </c>
      <c r="G133">
        <v>0.76</v>
      </c>
      <c r="H133">
        <v>0.72</v>
      </c>
      <c r="I133">
        <v>0.7</v>
      </c>
      <c r="J133" s="3">
        <v>0.03</v>
      </c>
      <c r="K133">
        <v>0</v>
      </c>
      <c r="L133">
        <v>0</v>
      </c>
      <c r="M133">
        <v>0</v>
      </c>
      <c r="N133">
        <v>0.63</v>
      </c>
      <c r="O133">
        <v>0.9</v>
      </c>
      <c r="P133">
        <v>0.77</v>
      </c>
      <c r="Q133">
        <v>0.68</v>
      </c>
      <c r="R133" s="20"/>
      <c r="S133" s="3">
        <v>0.21</v>
      </c>
      <c r="T133" s="21">
        <v>0.19</v>
      </c>
      <c r="U133">
        <v>0.19</v>
      </c>
      <c r="V133">
        <v>0.19</v>
      </c>
      <c r="W133">
        <v>1.38</v>
      </c>
      <c r="X133">
        <v>1.31</v>
      </c>
      <c r="Y133">
        <v>1.34</v>
      </c>
      <c r="Z133">
        <v>1.45</v>
      </c>
    </row>
    <row r="134" spans="1:26" x14ac:dyDescent="0.25">
      <c r="A134" s="5" t="s">
        <v>176</v>
      </c>
      <c r="B134">
        <v>0.01</v>
      </c>
      <c r="C134">
        <v>0</v>
      </c>
      <c r="D134">
        <v>0</v>
      </c>
      <c r="E134">
        <v>0</v>
      </c>
      <c r="F134">
        <v>0.49</v>
      </c>
      <c r="G134">
        <v>0.61</v>
      </c>
      <c r="H134">
        <v>0.54</v>
      </c>
      <c r="I134">
        <v>0.42</v>
      </c>
      <c r="J134" s="3">
        <v>0</v>
      </c>
      <c r="K134">
        <v>0</v>
      </c>
      <c r="L134">
        <v>0</v>
      </c>
      <c r="M134">
        <v>0</v>
      </c>
      <c r="N134">
        <v>0.56999999999999995</v>
      </c>
      <c r="O134">
        <v>0.46</v>
      </c>
      <c r="P134">
        <v>0.42</v>
      </c>
      <c r="Q134">
        <v>0.63</v>
      </c>
      <c r="R134" s="20"/>
      <c r="S134" s="3">
        <v>0.3</v>
      </c>
      <c r="T134" s="21">
        <v>0.14000000000000001</v>
      </c>
      <c r="U134">
        <v>0.09</v>
      </c>
      <c r="V134">
        <v>0.12</v>
      </c>
      <c r="W134">
        <v>0.3</v>
      </c>
      <c r="X134">
        <v>0.28000000000000003</v>
      </c>
      <c r="Y134">
        <v>0.31</v>
      </c>
      <c r="Z134">
        <v>0.36</v>
      </c>
    </row>
    <row r="135" spans="1:26" x14ac:dyDescent="0.25">
      <c r="A135" s="5" t="s">
        <v>177</v>
      </c>
      <c r="B135">
        <v>0</v>
      </c>
      <c r="C135">
        <v>0</v>
      </c>
      <c r="D135">
        <v>0</v>
      </c>
      <c r="E135">
        <v>0</v>
      </c>
      <c r="F135">
        <v>0.13</v>
      </c>
      <c r="G135">
        <v>0.25</v>
      </c>
      <c r="H135">
        <v>0.35</v>
      </c>
      <c r="I135">
        <v>0.2</v>
      </c>
      <c r="J135" s="3">
        <v>0</v>
      </c>
      <c r="K135">
        <v>0</v>
      </c>
      <c r="L135">
        <v>0</v>
      </c>
      <c r="M135">
        <v>0</v>
      </c>
      <c r="N135">
        <v>0.11</v>
      </c>
      <c r="O135">
        <v>0.09</v>
      </c>
      <c r="P135">
        <v>0.03</v>
      </c>
      <c r="Q135">
        <v>0.05</v>
      </c>
      <c r="R135" s="20"/>
      <c r="S135" s="3">
        <v>0.27</v>
      </c>
      <c r="T135" s="21">
        <v>0.06</v>
      </c>
      <c r="U135">
        <v>0.05</v>
      </c>
      <c r="V135">
        <v>0.08</v>
      </c>
      <c r="W135">
        <v>0.03</v>
      </c>
      <c r="X135">
        <v>0.04</v>
      </c>
      <c r="Y135">
        <v>0.03</v>
      </c>
      <c r="Z135">
        <v>0.03</v>
      </c>
    </row>
    <row r="136" spans="1:26" x14ac:dyDescent="0.25">
      <c r="A136" s="5" t="s">
        <v>178</v>
      </c>
      <c r="B136">
        <v>0</v>
      </c>
      <c r="C136">
        <v>0</v>
      </c>
      <c r="D136">
        <v>0</v>
      </c>
      <c r="E136">
        <v>0</v>
      </c>
      <c r="F136">
        <v>0.03</v>
      </c>
      <c r="G136">
        <v>0.03</v>
      </c>
      <c r="H136">
        <v>0.04</v>
      </c>
      <c r="I136">
        <v>0.04</v>
      </c>
      <c r="J136" s="3">
        <v>0</v>
      </c>
      <c r="K136">
        <v>0</v>
      </c>
      <c r="L136">
        <v>0</v>
      </c>
      <c r="M136">
        <v>0</v>
      </c>
      <c r="N136">
        <v>0.02</v>
      </c>
      <c r="O136">
        <v>0.02</v>
      </c>
      <c r="P136">
        <v>0.01</v>
      </c>
      <c r="Q136">
        <v>0</v>
      </c>
      <c r="R136" s="20"/>
      <c r="S136" s="3">
        <v>0.06</v>
      </c>
      <c r="T136" s="21">
        <v>0.05</v>
      </c>
      <c r="U136">
        <v>0.03</v>
      </c>
      <c r="V136">
        <v>0.05</v>
      </c>
      <c r="W136">
        <v>0.01</v>
      </c>
      <c r="X136">
        <v>0.01</v>
      </c>
      <c r="Y136">
        <v>0.01</v>
      </c>
      <c r="Z136">
        <v>0.01</v>
      </c>
    </row>
    <row r="137" spans="1:26" x14ac:dyDescent="0.25">
      <c r="A137" s="5" t="s">
        <v>179</v>
      </c>
      <c r="B137">
        <v>0</v>
      </c>
      <c r="C137">
        <v>0</v>
      </c>
      <c r="D137">
        <v>0</v>
      </c>
      <c r="E137">
        <v>0</v>
      </c>
      <c r="F137">
        <v>0.02</v>
      </c>
      <c r="G137">
        <v>0.03</v>
      </c>
      <c r="H137">
        <v>0.01</v>
      </c>
      <c r="I137">
        <v>0.01</v>
      </c>
      <c r="J137" s="3">
        <v>0</v>
      </c>
      <c r="K137">
        <v>0</v>
      </c>
      <c r="L137">
        <v>0</v>
      </c>
      <c r="M137">
        <v>0</v>
      </c>
      <c r="N137">
        <v>0.01</v>
      </c>
      <c r="O137">
        <v>0</v>
      </c>
      <c r="P137">
        <v>0</v>
      </c>
      <c r="Q137">
        <v>0</v>
      </c>
      <c r="R137" s="20"/>
      <c r="S137" s="3">
        <v>0.03</v>
      </c>
      <c r="T137" s="21">
        <v>0.02</v>
      </c>
      <c r="U137">
        <v>0.04</v>
      </c>
      <c r="V137">
        <v>0.03</v>
      </c>
      <c r="W137">
        <v>0</v>
      </c>
      <c r="X137">
        <v>0</v>
      </c>
      <c r="Y137">
        <v>0</v>
      </c>
      <c r="Z137">
        <v>0</v>
      </c>
    </row>
    <row r="138" spans="1:26" x14ac:dyDescent="0.25">
      <c r="A138" s="5" t="s">
        <v>180</v>
      </c>
      <c r="B138">
        <v>0</v>
      </c>
      <c r="C138">
        <v>0</v>
      </c>
      <c r="D138">
        <v>0</v>
      </c>
      <c r="E138">
        <v>0</v>
      </c>
      <c r="F138">
        <v>0.01</v>
      </c>
      <c r="G138">
        <v>0.01</v>
      </c>
      <c r="H138">
        <v>0.01</v>
      </c>
      <c r="I138">
        <v>0.01</v>
      </c>
      <c r="J138" s="3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 s="20"/>
      <c r="S138" s="3">
        <v>0.01</v>
      </c>
      <c r="T138" s="21">
        <v>0.01</v>
      </c>
      <c r="U138">
        <v>0</v>
      </c>
      <c r="V138">
        <v>0.01</v>
      </c>
      <c r="W138">
        <v>0</v>
      </c>
      <c r="X138">
        <v>0</v>
      </c>
      <c r="Y138">
        <v>0</v>
      </c>
      <c r="Z138">
        <v>0</v>
      </c>
    </row>
    <row r="139" spans="1:26" x14ac:dyDescent="0.25">
      <c r="A139" s="5" t="s">
        <v>181</v>
      </c>
      <c r="B139">
        <v>0</v>
      </c>
      <c r="C139">
        <v>0</v>
      </c>
      <c r="D139">
        <v>0</v>
      </c>
      <c r="E139">
        <v>0</v>
      </c>
      <c r="F139">
        <v>0.01</v>
      </c>
      <c r="G139">
        <v>0.01</v>
      </c>
      <c r="H139">
        <v>0.01</v>
      </c>
      <c r="I139">
        <v>0.01</v>
      </c>
      <c r="J139" s="3">
        <v>0</v>
      </c>
      <c r="K139">
        <v>0</v>
      </c>
      <c r="L139">
        <v>0</v>
      </c>
      <c r="M139">
        <v>0</v>
      </c>
      <c r="N139">
        <v>0</v>
      </c>
      <c r="O139">
        <v>0.01</v>
      </c>
      <c r="P139">
        <v>0</v>
      </c>
      <c r="Q139">
        <v>0</v>
      </c>
      <c r="R139" s="20"/>
      <c r="S139" s="3">
        <v>0</v>
      </c>
      <c r="T139" s="21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 x14ac:dyDescent="0.25">
      <c r="A140" s="5" t="s">
        <v>182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0.01</v>
      </c>
      <c r="H140">
        <v>0.01</v>
      </c>
      <c r="I140">
        <v>0</v>
      </c>
      <c r="J140" s="3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s="20"/>
      <c r="S140" s="3">
        <v>0</v>
      </c>
      <c r="T140" s="21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 x14ac:dyDescent="0.25">
      <c r="A141" s="5" t="s">
        <v>183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 s="3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20"/>
      <c r="S141" s="3">
        <v>0</v>
      </c>
      <c r="T141" s="2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 x14ac:dyDescent="0.25">
      <c r="A142" s="5" t="s">
        <v>184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s="3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 s="20"/>
      <c r="S142" s="3">
        <v>0</v>
      </c>
      <c r="T142" s="21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 x14ac:dyDescent="0.25">
      <c r="A143" s="5" t="s">
        <v>185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s="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s="20"/>
      <c r="S143" s="3">
        <v>0</v>
      </c>
      <c r="T143" s="21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 x14ac:dyDescent="0.25">
      <c r="A144" s="5" t="s">
        <v>186</v>
      </c>
      <c r="B144">
        <v>96.96</v>
      </c>
      <c r="C144">
        <v>96.98</v>
      </c>
      <c r="D144">
        <v>97.17</v>
      </c>
      <c r="E144">
        <v>96.96</v>
      </c>
      <c r="F144">
        <v>79.209999999999994</v>
      </c>
      <c r="G144">
        <v>78.84</v>
      </c>
      <c r="H144">
        <v>78.959999999999994</v>
      </c>
      <c r="I144">
        <v>77.05</v>
      </c>
      <c r="J144" s="3">
        <v>96.61</v>
      </c>
      <c r="K144">
        <v>96.23</v>
      </c>
      <c r="L144">
        <v>96.95</v>
      </c>
      <c r="M144">
        <v>96.96</v>
      </c>
      <c r="N144">
        <v>79.63</v>
      </c>
      <c r="O144">
        <v>78.63</v>
      </c>
      <c r="P144">
        <v>78.64</v>
      </c>
      <c r="Q144">
        <v>77.95</v>
      </c>
      <c r="R144" s="20"/>
      <c r="S144" s="3">
        <v>94.85</v>
      </c>
      <c r="T144" s="21">
        <v>94.91</v>
      </c>
      <c r="U144">
        <v>94.53</v>
      </c>
      <c r="V144">
        <v>95.04</v>
      </c>
      <c r="W144">
        <v>66.88</v>
      </c>
      <c r="X144">
        <v>66.959999999999994</v>
      </c>
      <c r="Y144">
        <v>65.209999999999994</v>
      </c>
      <c r="Z144">
        <v>63.27</v>
      </c>
    </row>
    <row r="145" spans="1:27" x14ac:dyDescent="0.25">
      <c r="A145" s="5" t="s">
        <v>187</v>
      </c>
      <c r="B145" t="s">
        <v>188</v>
      </c>
      <c r="J145" s="3" t="s">
        <v>188</v>
      </c>
      <c r="S145" s="3" t="s">
        <v>188</v>
      </c>
      <c r="AA145" s="13" t="s">
        <v>188</v>
      </c>
    </row>
    <row r="146" spans="1:27" x14ac:dyDescent="0.25">
      <c r="A146" s="5" t="s">
        <v>189</v>
      </c>
      <c r="B146">
        <v>6.92</v>
      </c>
      <c r="J146" s="3">
        <v>6.99</v>
      </c>
      <c r="R146" s="11">
        <f t="shared" ref="R146:R178" si="7">J146-B146</f>
        <v>7.0000000000000284E-2</v>
      </c>
      <c r="S146" s="3">
        <v>6.52</v>
      </c>
      <c r="AA146" s="16">
        <f t="shared" ref="AA146:AA178" si="8">R146+S146</f>
        <v>6.59</v>
      </c>
    </row>
    <row r="147" spans="1:27" x14ac:dyDescent="0.25">
      <c r="A147" s="5" t="s">
        <v>190</v>
      </c>
      <c r="B147">
        <v>93.08</v>
      </c>
      <c r="J147" s="3">
        <v>93.01</v>
      </c>
      <c r="R147" s="11">
        <f t="shared" si="7"/>
        <v>-6.9999999999993179E-2</v>
      </c>
      <c r="S147" s="3">
        <v>93.48</v>
      </c>
      <c r="AA147" s="16">
        <f t="shared" si="8"/>
        <v>93.410000000000011</v>
      </c>
    </row>
    <row r="148" spans="1:27" x14ac:dyDescent="0.25">
      <c r="A148" s="13" t="s">
        <v>573</v>
      </c>
      <c r="R148" s="11"/>
      <c r="S148" s="3" t="s">
        <v>573</v>
      </c>
      <c r="AA148" s="13" t="s">
        <v>573</v>
      </c>
    </row>
    <row r="149" spans="1:27" x14ac:dyDescent="0.25">
      <c r="A149" s="5" t="s">
        <v>191</v>
      </c>
      <c r="B149">
        <v>4636.09</v>
      </c>
      <c r="J149" s="3">
        <v>4898.42</v>
      </c>
      <c r="R149" s="11">
        <f t="shared" si="7"/>
        <v>262.32999999999993</v>
      </c>
      <c r="S149" s="3">
        <v>5735.24</v>
      </c>
      <c r="AA149" s="16">
        <f t="shared" si="8"/>
        <v>5997.57</v>
      </c>
    </row>
    <row r="150" spans="1:27" x14ac:dyDescent="0.25">
      <c r="A150" s="5" t="s">
        <v>192</v>
      </c>
      <c r="B150">
        <v>4.66</v>
      </c>
      <c r="J150" s="3">
        <v>5</v>
      </c>
      <c r="R150" s="11">
        <f t="shared" si="7"/>
        <v>0.33999999999999986</v>
      </c>
      <c r="S150" s="3">
        <v>7.06</v>
      </c>
      <c r="AA150" s="16">
        <f t="shared" si="8"/>
        <v>7.3999999999999995</v>
      </c>
    </row>
    <row r="151" spans="1:27" x14ac:dyDescent="0.25">
      <c r="A151" s="5" t="s">
        <v>193</v>
      </c>
      <c r="B151">
        <v>77.12</v>
      </c>
      <c r="J151" s="3">
        <v>80.760000000000005</v>
      </c>
      <c r="R151" s="11">
        <f t="shared" si="7"/>
        <v>3.6400000000000006</v>
      </c>
      <c r="S151" s="3">
        <v>95.29</v>
      </c>
      <c r="AA151" s="16">
        <f t="shared" si="8"/>
        <v>98.93</v>
      </c>
    </row>
    <row r="152" spans="1:27" x14ac:dyDescent="0.25">
      <c r="A152" s="5" t="s">
        <v>194</v>
      </c>
      <c r="B152">
        <v>414.89</v>
      </c>
      <c r="J152" s="3">
        <v>436.69</v>
      </c>
      <c r="R152" s="11">
        <f t="shared" si="7"/>
        <v>21.800000000000011</v>
      </c>
      <c r="S152" s="3">
        <v>504.75</v>
      </c>
      <c r="AA152" s="16">
        <f t="shared" si="8"/>
        <v>526.54999999999995</v>
      </c>
    </row>
    <row r="153" spans="1:27" x14ac:dyDescent="0.25">
      <c r="A153" s="5" t="s">
        <v>195</v>
      </c>
      <c r="B153">
        <v>0</v>
      </c>
      <c r="J153" s="3">
        <v>0</v>
      </c>
      <c r="R153" s="11">
        <f t="shared" si="7"/>
        <v>0</v>
      </c>
      <c r="S153" s="3">
        <v>0</v>
      </c>
      <c r="AA153" s="16">
        <f t="shared" si="8"/>
        <v>0</v>
      </c>
    </row>
    <row r="154" spans="1:27" x14ac:dyDescent="0.25">
      <c r="A154" s="5" t="s">
        <v>196</v>
      </c>
      <c r="B154">
        <v>0</v>
      </c>
      <c r="J154" s="3">
        <v>0</v>
      </c>
      <c r="R154" s="11">
        <f t="shared" si="7"/>
        <v>0</v>
      </c>
      <c r="S154" s="3">
        <v>0</v>
      </c>
      <c r="AA154" s="16">
        <f t="shared" si="8"/>
        <v>0</v>
      </c>
    </row>
    <row r="155" spans="1:27" x14ac:dyDescent="0.25">
      <c r="A155" s="5" t="s">
        <v>197</v>
      </c>
      <c r="B155">
        <v>0</v>
      </c>
      <c r="J155" s="3">
        <v>0</v>
      </c>
      <c r="R155" s="11">
        <f t="shared" si="7"/>
        <v>0</v>
      </c>
      <c r="S155" s="3">
        <v>0</v>
      </c>
      <c r="AA155" s="16">
        <f t="shared" si="8"/>
        <v>0</v>
      </c>
    </row>
    <row r="156" spans="1:27" x14ac:dyDescent="0.25">
      <c r="A156" s="5" t="s">
        <v>198</v>
      </c>
      <c r="B156">
        <v>2433.56</v>
      </c>
      <c r="J156" s="3">
        <v>2473.64</v>
      </c>
      <c r="R156" s="11">
        <f t="shared" si="7"/>
        <v>40.079999999999927</v>
      </c>
      <c r="S156" s="3">
        <v>2467.9499999999998</v>
      </c>
      <c r="AA156" s="16">
        <f t="shared" si="8"/>
        <v>2508.0299999999997</v>
      </c>
    </row>
    <row r="157" spans="1:27" x14ac:dyDescent="0.25">
      <c r="A157" s="5" t="s">
        <v>199</v>
      </c>
      <c r="B157">
        <v>8.8699999999999992</v>
      </c>
      <c r="J157" s="3">
        <v>9.8800000000000008</v>
      </c>
      <c r="R157" s="11">
        <f t="shared" si="7"/>
        <v>1.0100000000000016</v>
      </c>
      <c r="S157" s="3">
        <v>10.19</v>
      </c>
      <c r="AA157" s="16">
        <f t="shared" si="8"/>
        <v>11.200000000000001</v>
      </c>
    </row>
    <row r="158" spans="1:27" x14ac:dyDescent="0.25">
      <c r="A158" s="5" t="s">
        <v>200</v>
      </c>
      <c r="B158" t="s">
        <v>201</v>
      </c>
      <c r="J158" s="3" t="s">
        <v>201</v>
      </c>
      <c r="S158" s="3" t="s">
        <v>201</v>
      </c>
      <c r="AA158" s="13" t="s">
        <v>201</v>
      </c>
    </row>
    <row r="159" spans="1:27" x14ac:dyDescent="0.25">
      <c r="A159" s="5" t="s">
        <v>202</v>
      </c>
      <c r="B159">
        <v>28.08</v>
      </c>
      <c r="J159" s="3">
        <v>28.18</v>
      </c>
      <c r="R159" s="11">
        <f t="shared" si="7"/>
        <v>0.10000000000000142</v>
      </c>
      <c r="S159" s="3">
        <v>31.28</v>
      </c>
      <c r="AA159" s="16">
        <f t="shared" si="8"/>
        <v>31.380000000000003</v>
      </c>
    </row>
    <row r="160" spans="1:27" x14ac:dyDescent="0.25">
      <c r="A160" s="5" t="s">
        <v>203</v>
      </c>
      <c r="B160">
        <v>27.43</v>
      </c>
      <c r="J160" s="3">
        <v>27.74</v>
      </c>
      <c r="R160" s="11">
        <f t="shared" si="7"/>
        <v>0.30999999999999872</v>
      </c>
      <c r="S160" s="3">
        <v>32.19</v>
      </c>
      <c r="AA160" s="16">
        <f t="shared" si="8"/>
        <v>32.5</v>
      </c>
    </row>
    <row r="161" spans="1:27" x14ac:dyDescent="0.25">
      <c r="A161" s="5" t="s">
        <v>204</v>
      </c>
      <c r="B161">
        <v>28.11</v>
      </c>
      <c r="J161" s="3">
        <v>28.11</v>
      </c>
      <c r="R161" s="11">
        <f t="shared" si="7"/>
        <v>0</v>
      </c>
      <c r="S161" s="3">
        <v>33.97</v>
      </c>
      <c r="AA161" s="16">
        <f t="shared" si="8"/>
        <v>33.97</v>
      </c>
    </row>
    <row r="162" spans="1:27" x14ac:dyDescent="0.25">
      <c r="A162" s="5" t="s">
        <v>205</v>
      </c>
      <c r="B162">
        <v>27.15</v>
      </c>
      <c r="J162" s="3">
        <v>27.32</v>
      </c>
      <c r="R162" s="11">
        <f t="shared" si="7"/>
        <v>0.17000000000000171</v>
      </c>
      <c r="S162" s="3">
        <v>31.69</v>
      </c>
      <c r="AA162" s="16">
        <f t="shared" si="8"/>
        <v>31.860000000000003</v>
      </c>
    </row>
    <row r="163" spans="1:27" x14ac:dyDescent="0.25">
      <c r="A163" s="5" t="s">
        <v>206</v>
      </c>
      <c r="B163">
        <v>27.57</v>
      </c>
      <c r="J163" s="3">
        <v>27.54</v>
      </c>
      <c r="R163" s="11">
        <f t="shared" si="7"/>
        <v>-3.0000000000001137E-2</v>
      </c>
      <c r="S163" s="3">
        <v>31.75</v>
      </c>
      <c r="AA163" s="16">
        <f t="shared" si="8"/>
        <v>31.72</v>
      </c>
    </row>
    <row r="164" spans="1:27" x14ac:dyDescent="0.25">
      <c r="A164" s="5" t="s">
        <v>207</v>
      </c>
      <c r="B164">
        <v>27.54</v>
      </c>
      <c r="J164" s="3">
        <v>27.54</v>
      </c>
      <c r="R164" s="11">
        <f t="shared" si="7"/>
        <v>0</v>
      </c>
      <c r="S164" s="3">
        <v>31.77</v>
      </c>
      <c r="AA164" s="16">
        <f t="shared" si="8"/>
        <v>31.77</v>
      </c>
    </row>
    <row r="165" spans="1:27" x14ac:dyDescent="0.25">
      <c r="A165" s="5" t="s">
        <v>208</v>
      </c>
      <c r="B165">
        <v>27.53</v>
      </c>
      <c r="J165" s="3">
        <v>27.57</v>
      </c>
      <c r="R165" s="11">
        <f t="shared" si="7"/>
        <v>3.9999999999999147E-2</v>
      </c>
      <c r="S165" s="3">
        <v>31.77</v>
      </c>
      <c r="AA165" s="16">
        <f t="shared" si="8"/>
        <v>31.81</v>
      </c>
    </row>
    <row r="166" spans="1:27" x14ac:dyDescent="0.25">
      <c r="A166" s="5" t="s">
        <v>209</v>
      </c>
      <c r="B166">
        <v>27.61</v>
      </c>
      <c r="J166" s="3">
        <v>27.56</v>
      </c>
      <c r="R166" s="11">
        <f t="shared" si="7"/>
        <v>-5.0000000000000711E-2</v>
      </c>
      <c r="S166" s="3">
        <v>31.73</v>
      </c>
      <c r="AA166" s="16">
        <f t="shared" si="8"/>
        <v>31.68</v>
      </c>
    </row>
    <row r="167" spans="1:27" x14ac:dyDescent="0.25">
      <c r="A167" s="5" t="s">
        <v>210</v>
      </c>
      <c r="B167" t="s">
        <v>201</v>
      </c>
      <c r="J167" s="3" t="s">
        <v>201</v>
      </c>
      <c r="S167" s="3" t="s">
        <v>201</v>
      </c>
      <c r="AA167" s="13" t="s">
        <v>201</v>
      </c>
    </row>
    <row r="168" spans="1:27" x14ac:dyDescent="0.25">
      <c r="A168" s="5" t="s">
        <v>211</v>
      </c>
      <c r="B168">
        <v>27.63</v>
      </c>
      <c r="J168" s="3">
        <v>27.73</v>
      </c>
      <c r="R168" s="11">
        <f t="shared" si="7"/>
        <v>0.10000000000000142</v>
      </c>
      <c r="S168" s="3">
        <v>31.32</v>
      </c>
      <c r="AA168" s="16">
        <f t="shared" si="8"/>
        <v>31.42</v>
      </c>
    </row>
    <row r="169" spans="1:27" x14ac:dyDescent="0.25">
      <c r="A169" s="5" t="s">
        <v>212</v>
      </c>
      <c r="B169">
        <v>27.33</v>
      </c>
      <c r="J169" s="3">
        <v>27.4</v>
      </c>
      <c r="R169" s="11">
        <f t="shared" si="7"/>
        <v>7.0000000000000284E-2</v>
      </c>
      <c r="S169" s="3">
        <v>32</v>
      </c>
      <c r="AA169" s="16">
        <f t="shared" si="8"/>
        <v>32.07</v>
      </c>
    </row>
    <row r="170" spans="1:27" x14ac:dyDescent="0.25">
      <c r="A170" s="5" t="s">
        <v>213</v>
      </c>
      <c r="B170">
        <v>26.18</v>
      </c>
      <c r="J170" s="3">
        <v>26.36</v>
      </c>
      <c r="R170" s="11">
        <f t="shared" si="7"/>
        <v>0.17999999999999972</v>
      </c>
      <c r="S170" s="3">
        <v>30.13</v>
      </c>
      <c r="AA170" s="16">
        <f t="shared" si="8"/>
        <v>30.31</v>
      </c>
    </row>
    <row r="171" spans="1:27" x14ac:dyDescent="0.25">
      <c r="A171" s="5" t="s">
        <v>214</v>
      </c>
      <c r="B171">
        <v>26.75</v>
      </c>
      <c r="J171" s="3">
        <v>26.85</v>
      </c>
      <c r="R171" s="11">
        <f t="shared" si="7"/>
        <v>0.10000000000000142</v>
      </c>
      <c r="S171" s="3">
        <v>31.03</v>
      </c>
      <c r="AA171" s="16">
        <f t="shared" si="8"/>
        <v>31.130000000000003</v>
      </c>
    </row>
    <row r="172" spans="1:27" x14ac:dyDescent="0.25">
      <c r="A172" s="5" t="s">
        <v>215</v>
      </c>
      <c r="B172">
        <v>26.71</v>
      </c>
      <c r="J172" s="3">
        <v>26.76</v>
      </c>
      <c r="R172" s="11">
        <f t="shared" si="7"/>
        <v>5.0000000000000711E-2</v>
      </c>
      <c r="S172" s="3">
        <v>29.8</v>
      </c>
      <c r="AA172" s="16">
        <f t="shared" si="8"/>
        <v>29.85</v>
      </c>
    </row>
    <row r="173" spans="1:27" x14ac:dyDescent="0.25">
      <c r="A173" s="5" t="s">
        <v>216</v>
      </c>
      <c r="B173">
        <v>26.28</v>
      </c>
      <c r="J173" s="3">
        <v>26.32</v>
      </c>
      <c r="R173" s="11">
        <f t="shared" si="7"/>
        <v>3.9999999999999147E-2</v>
      </c>
      <c r="S173" s="3">
        <v>31.69</v>
      </c>
      <c r="AA173" s="16">
        <f t="shared" si="8"/>
        <v>31.73</v>
      </c>
    </row>
    <row r="174" spans="1:27" x14ac:dyDescent="0.25">
      <c r="A174" s="5" t="s">
        <v>217</v>
      </c>
      <c r="B174" t="s">
        <v>218</v>
      </c>
      <c r="J174" s="3" t="s">
        <v>218</v>
      </c>
      <c r="S174" s="3" t="s">
        <v>218</v>
      </c>
      <c r="AA174" s="13" t="s">
        <v>575</v>
      </c>
    </row>
    <row r="175" spans="1:27" x14ac:dyDescent="0.25">
      <c r="A175" s="5" t="s">
        <v>219</v>
      </c>
      <c r="B175">
        <v>88.28</v>
      </c>
      <c r="J175" s="3">
        <v>87.74</v>
      </c>
      <c r="R175" s="11">
        <f t="shared" si="7"/>
        <v>-0.54000000000000625</v>
      </c>
      <c r="S175" s="3">
        <v>86.68</v>
      </c>
      <c r="AA175" s="16">
        <f t="shared" si="8"/>
        <v>86.14</v>
      </c>
    </row>
    <row r="176" spans="1:27" x14ac:dyDescent="0.25">
      <c r="A176" s="5" t="s">
        <v>220</v>
      </c>
      <c r="B176">
        <v>2.48</v>
      </c>
      <c r="J176" s="3">
        <v>2.5299999999999998</v>
      </c>
      <c r="R176" s="11">
        <f t="shared" si="7"/>
        <v>4.9999999999999822E-2</v>
      </c>
      <c r="S176" s="3">
        <v>3.02</v>
      </c>
      <c r="AA176" s="16">
        <f t="shared" si="8"/>
        <v>3.07</v>
      </c>
    </row>
    <row r="177" spans="1:27" x14ac:dyDescent="0.25">
      <c r="A177" s="5" t="s">
        <v>221</v>
      </c>
      <c r="B177">
        <v>0</v>
      </c>
      <c r="J177" s="3">
        <v>0</v>
      </c>
      <c r="R177" s="11">
        <f t="shared" si="7"/>
        <v>0</v>
      </c>
      <c r="S177" s="3">
        <v>0</v>
      </c>
      <c r="AA177" s="16">
        <f t="shared" si="8"/>
        <v>0</v>
      </c>
    </row>
    <row r="178" spans="1:27" x14ac:dyDescent="0.25">
      <c r="A178" s="5" t="s">
        <v>222</v>
      </c>
      <c r="B178">
        <v>9.24</v>
      </c>
      <c r="J178" s="3">
        <v>9.73</v>
      </c>
      <c r="R178" s="11">
        <f t="shared" si="7"/>
        <v>0.49000000000000021</v>
      </c>
      <c r="S178" s="3">
        <v>10.3</v>
      </c>
      <c r="AA178" s="16">
        <f t="shared" si="8"/>
        <v>10.790000000000001</v>
      </c>
    </row>
    <row r="179" spans="1:27" x14ac:dyDescent="0.25">
      <c r="A179" s="5" t="s">
        <v>223</v>
      </c>
      <c r="B179">
        <v>3529</v>
      </c>
      <c r="J179" s="3">
        <v>3736</v>
      </c>
      <c r="S179" s="3">
        <v>3078</v>
      </c>
    </row>
    <row r="180" spans="1:27" x14ac:dyDescent="0.25">
      <c r="A180" s="5" t="s">
        <v>224</v>
      </c>
      <c r="B180">
        <v>0</v>
      </c>
      <c r="J180" s="3">
        <v>0</v>
      </c>
      <c r="S180" s="3">
        <v>0</v>
      </c>
    </row>
    <row r="181" spans="1:27" x14ac:dyDescent="0.25">
      <c r="A181" s="5" t="s">
        <v>225</v>
      </c>
      <c r="B181">
        <v>3529</v>
      </c>
      <c r="J181" s="3">
        <v>3736</v>
      </c>
      <c r="S181" s="3">
        <v>3078</v>
      </c>
    </row>
    <row r="182" spans="1:27" x14ac:dyDescent="0.25">
      <c r="A182" s="5" t="s">
        <v>226</v>
      </c>
      <c r="B182" t="s">
        <v>227</v>
      </c>
      <c r="J182" s="3" t="s">
        <v>227</v>
      </c>
      <c r="S182" s="3" t="s">
        <v>227</v>
      </c>
    </row>
    <row r="183" spans="1:27" x14ac:dyDescent="0.25">
      <c r="A183" s="5" t="s">
        <v>228</v>
      </c>
      <c r="B183" t="s">
        <v>218</v>
      </c>
      <c r="J183" s="3" t="s">
        <v>218</v>
      </c>
      <c r="S183" s="3" t="s">
        <v>218</v>
      </c>
      <c r="AA183" s="13" t="s">
        <v>572</v>
      </c>
    </row>
    <row r="184" spans="1:27" x14ac:dyDescent="0.25">
      <c r="A184" s="5" t="s">
        <v>229</v>
      </c>
      <c r="B184">
        <v>1.96</v>
      </c>
      <c r="J184" s="3">
        <v>1.97</v>
      </c>
      <c r="R184" s="11">
        <f t="shared" ref="R184:R207" si="9">J184-B184</f>
        <v>1.0000000000000009E-2</v>
      </c>
      <c r="S184" s="3">
        <v>1.1599999999999999</v>
      </c>
      <c r="AA184" s="16">
        <f t="shared" ref="AA184:AA207" si="10">R184+S184</f>
        <v>1.17</v>
      </c>
    </row>
    <row r="185" spans="1:27" x14ac:dyDescent="0.25">
      <c r="A185" s="5" t="s">
        <v>230</v>
      </c>
      <c r="B185">
        <v>98.04</v>
      </c>
      <c r="J185" s="3">
        <v>98.03</v>
      </c>
      <c r="R185" s="11">
        <f t="shared" si="9"/>
        <v>-1.0000000000005116E-2</v>
      </c>
      <c r="S185" s="3">
        <v>98.84</v>
      </c>
      <c r="AA185" s="16">
        <f t="shared" si="10"/>
        <v>98.83</v>
      </c>
    </row>
    <row r="186" spans="1:27" x14ac:dyDescent="0.25">
      <c r="A186" s="5" t="s">
        <v>231</v>
      </c>
      <c r="B186" t="s">
        <v>232</v>
      </c>
      <c r="J186" s="3" t="s">
        <v>232</v>
      </c>
      <c r="S186" s="3" t="s">
        <v>232</v>
      </c>
      <c r="AA186" s="13" t="s">
        <v>232</v>
      </c>
    </row>
    <row r="187" spans="1:27" x14ac:dyDescent="0.25">
      <c r="A187" s="5" t="s">
        <v>233</v>
      </c>
      <c r="B187">
        <v>97.44</v>
      </c>
      <c r="J187" s="3">
        <v>97.75</v>
      </c>
      <c r="R187" s="11"/>
      <c r="S187" s="3">
        <v>97.16</v>
      </c>
      <c r="AA187" s="16">
        <f t="shared" si="10"/>
        <v>97.16</v>
      </c>
    </row>
    <row r="188" spans="1:27" x14ac:dyDescent="0.25">
      <c r="A188" s="5" t="s">
        <v>234</v>
      </c>
      <c r="B188">
        <v>2.2799999999999998</v>
      </c>
      <c r="J188" s="3">
        <v>1.95</v>
      </c>
      <c r="R188" s="11"/>
      <c r="S188" s="3">
        <v>0.95</v>
      </c>
      <c r="AA188" s="16">
        <f t="shared" si="10"/>
        <v>0.95</v>
      </c>
    </row>
    <row r="189" spans="1:27" x14ac:dyDescent="0.25">
      <c r="A189" s="5" t="s">
        <v>235</v>
      </c>
      <c r="B189">
        <v>0.27</v>
      </c>
      <c r="J189" s="3">
        <v>0.27</v>
      </c>
      <c r="R189" s="11"/>
      <c r="S189" s="3">
        <v>1.170000000000001</v>
      </c>
      <c r="AA189" s="16">
        <f t="shared" si="10"/>
        <v>1.170000000000001</v>
      </c>
    </row>
    <row r="190" spans="1:27" x14ac:dyDescent="0.25">
      <c r="A190" s="5" t="s">
        <v>236</v>
      </c>
      <c r="B190">
        <v>0</v>
      </c>
      <c r="J190" s="3">
        <v>0.01</v>
      </c>
      <c r="R190" s="11"/>
      <c r="S190" s="3">
        <v>0.57000000000000006</v>
      </c>
      <c r="AA190" s="16">
        <f t="shared" si="10"/>
        <v>0.57000000000000006</v>
      </c>
    </row>
    <row r="191" spans="1:27" x14ac:dyDescent="0.25">
      <c r="A191" s="5" t="s">
        <v>237</v>
      </c>
      <c r="B191">
        <v>0</v>
      </c>
      <c r="J191" s="3">
        <v>0</v>
      </c>
      <c r="R191" s="11"/>
      <c r="S191" s="3">
        <v>0.12</v>
      </c>
      <c r="AA191" s="16">
        <f t="shared" si="10"/>
        <v>0.12</v>
      </c>
    </row>
    <row r="192" spans="1:27" x14ac:dyDescent="0.25">
      <c r="A192" s="5" t="s">
        <v>238</v>
      </c>
      <c r="B192" t="s">
        <v>239</v>
      </c>
      <c r="J192" s="3" t="s">
        <v>239</v>
      </c>
      <c r="S192" s="3" t="s">
        <v>239</v>
      </c>
      <c r="AA192" s="13" t="s">
        <v>239</v>
      </c>
    </row>
    <row r="193" spans="1:27" x14ac:dyDescent="0.25">
      <c r="A193" s="5" t="s">
        <v>240</v>
      </c>
      <c r="B193">
        <v>69.959999999999994</v>
      </c>
      <c r="J193" s="3">
        <v>69.61</v>
      </c>
      <c r="R193" s="11">
        <f t="shared" si="9"/>
        <v>-0.34999999999999432</v>
      </c>
      <c r="S193" s="3">
        <v>55.72</v>
      </c>
      <c r="AA193" s="16">
        <f t="shared" si="10"/>
        <v>55.370000000000005</v>
      </c>
    </row>
    <row r="194" spans="1:27" x14ac:dyDescent="0.25">
      <c r="A194" s="5" t="s">
        <v>241</v>
      </c>
      <c r="B194">
        <v>6.94</v>
      </c>
      <c r="J194" s="3">
        <v>7.25</v>
      </c>
      <c r="R194" s="11">
        <f t="shared" si="9"/>
        <v>0.30999999999999961</v>
      </c>
      <c r="S194" s="3">
        <v>12.55</v>
      </c>
      <c r="AA194" s="16">
        <f t="shared" si="10"/>
        <v>12.86</v>
      </c>
    </row>
    <row r="195" spans="1:27" x14ac:dyDescent="0.25">
      <c r="A195" s="5" t="s">
        <v>242</v>
      </c>
      <c r="B195">
        <v>3.46</v>
      </c>
      <c r="J195" s="3">
        <v>3.24</v>
      </c>
      <c r="R195" s="11">
        <f t="shared" si="9"/>
        <v>-0.21999999999999975</v>
      </c>
      <c r="S195" s="3">
        <v>3.39</v>
      </c>
      <c r="AA195" s="16">
        <f t="shared" si="10"/>
        <v>3.1700000000000004</v>
      </c>
    </row>
    <row r="196" spans="1:27" x14ac:dyDescent="0.25">
      <c r="A196" s="5" t="s">
        <v>243</v>
      </c>
      <c r="B196">
        <v>19.63</v>
      </c>
      <c r="J196" s="3">
        <v>19.899999999999999</v>
      </c>
      <c r="R196" s="11">
        <f t="shared" si="9"/>
        <v>0.26999999999999957</v>
      </c>
      <c r="S196" s="3">
        <v>28.33</v>
      </c>
      <c r="AA196" s="16">
        <f t="shared" si="10"/>
        <v>28.599999999999998</v>
      </c>
    </row>
    <row r="197" spans="1:27" x14ac:dyDescent="0.25">
      <c r="A197" s="5" t="s">
        <v>244</v>
      </c>
      <c r="B197" t="s">
        <v>245</v>
      </c>
      <c r="J197" s="3" t="s">
        <v>245</v>
      </c>
      <c r="S197" s="3" t="s">
        <v>245</v>
      </c>
      <c r="AA197" s="13" t="s">
        <v>245</v>
      </c>
    </row>
    <row r="198" spans="1:27" x14ac:dyDescent="0.25">
      <c r="A198" s="5" t="s">
        <v>246</v>
      </c>
      <c r="B198">
        <v>94.2</v>
      </c>
      <c r="J198" s="3">
        <v>94.22</v>
      </c>
      <c r="R198" s="11">
        <f t="shared" si="9"/>
        <v>1.9999999999996021E-2</v>
      </c>
      <c r="S198" s="3">
        <v>94.61</v>
      </c>
      <c r="AA198" s="16">
        <f t="shared" si="10"/>
        <v>94.63</v>
      </c>
    </row>
    <row r="199" spans="1:27" x14ac:dyDescent="0.25">
      <c r="A199" s="5" t="s">
        <v>247</v>
      </c>
      <c r="B199">
        <v>0.44</v>
      </c>
      <c r="J199" s="3">
        <v>0.35</v>
      </c>
      <c r="R199" s="11">
        <f t="shared" si="9"/>
        <v>-9.0000000000000024E-2</v>
      </c>
      <c r="S199" s="3">
        <v>0.3</v>
      </c>
      <c r="AA199" s="16">
        <f t="shared" si="10"/>
        <v>0.20999999999999996</v>
      </c>
    </row>
    <row r="200" spans="1:27" x14ac:dyDescent="0.25">
      <c r="A200" s="5" t="s">
        <v>248</v>
      </c>
      <c r="B200">
        <v>5.34</v>
      </c>
      <c r="J200" s="3">
        <v>5.43</v>
      </c>
      <c r="R200" s="11">
        <f t="shared" si="9"/>
        <v>8.9999999999999858E-2</v>
      </c>
      <c r="S200" s="3">
        <v>5.08</v>
      </c>
      <c r="AA200" s="16">
        <f t="shared" si="10"/>
        <v>5.17</v>
      </c>
    </row>
    <row r="201" spans="1:27" x14ac:dyDescent="0.25">
      <c r="A201" s="5" t="s">
        <v>249</v>
      </c>
      <c r="B201" t="s">
        <v>250</v>
      </c>
      <c r="J201" s="3" t="s">
        <v>250</v>
      </c>
      <c r="S201" s="3" t="s">
        <v>250</v>
      </c>
      <c r="AA201" s="13" t="s">
        <v>250</v>
      </c>
    </row>
    <row r="202" spans="1:27" x14ac:dyDescent="0.25">
      <c r="A202" s="5" t="s">
        <v>251</v>
      </c>
      <c r="B202">
        <v>93.95</v>
      </c>
      <c r="J202" s="3">
        <v>93.77</v>
      </c>
      <c r="R202" s="11">
        <f t="shared" si="9"/>
        <v>-0.18000000000000682</v>
      </c>
      <c r="S202" s="3">
        <v>94.53</v>
      </c>
      <c r="AA202" s="16">
        <f t="shared" si="10"/>
        <v>94.35</v>
      </c>
    </row>
    <row r="203" spans="1:27" x14ac:dyDescent="0.25">
      <c r="A203" s="5" t="s">
        <v>252</v>
      </c>
      <c r="B203">
        <v>2.4500000000000002</v>
      </c>
      <c r="J203" s="3">
        <v>2.68</v>
      </c>
      <c r="R203" s="11">
        <f t="shared" si="9"/>
        <v>0.22999999999999998</v>
      </c>
      <c r="S203" s="3">
        <v>0</v>
      </c>
      <c r="AA203" s="16">
        <f>R203+S203-0.02</f>
        <v>0.21</v>
      </c>
    </row>
    <row r="204" spans="1:27" x14ac:dyDescent="0.25">
      <c r="A204" s="5" t="s">
        <v>253</v>
      </c>
      <c r="B204">
        <v>0.16</v>
      </c>
      <c r="J204" s="3">
        <v>0.16</v>
      </c>
      <c r="R204" s="11">
        <f t="shared" si="9"/>
        <v>0</v>
      </c>
      <c r="S204" s="3">
        <v>1.62</v>
      </c>
      <c r="AA204" s="16">
        <f t="shared" si="10"/>
        <v>1.62</v>
      </c>
    </row>
    <row r="205" spans="1:27" x14ac:dyDescent="0.25">
      <c r="A205" s="5" t="s">
        <v>254</v>
      </c>
      <c r="B205">
        <v>0</v>
      </c>
      <c r="J205" s="3">
        <v>0</v>
      </c>
      <c r="R205" s="11">
        <f t="shared" si="9"/>
        <v>0</v>
      </c>
      <c r="S205" s="3">
        <v>3.82</v>
      </c>
      <c r="AA205" s="16">
        <f t="shared" si="10"/>
        <v>3.82</v>
      </c>
    </row>
    <row r="206" spans="1:27" x14ac:dyDescent="0.25">
      <c r="A206" s="5" t="s">
        <v>255</v>
      </c>
      <c r="B206">
        <v>0.01</v>
      </c>
      <c r="J206" s="3">
        <v>0.01</v>
      </c>
      <c r="R206" s="11">
        <f t="shared" si="9"/>
        <v>0</v>
      </c>
      <c r="S206" s="3">
        <v>0</v>
      </c>
      <c r="AA206" s="16"/>
    </row>
    <row r="207" spans="1:27" x14ac:dyDescent="0.25">
      <c r="A207" s="5" t="s">
        <v>256</v>
      </c>
      <c r="B207">
        <v>3.41</v>
      </c>
      <c r="J207" s="3">
        <v>3.38</v>
      </c>
      <c r="R207" s="11">
        <f t="shared" si="9"/>
        <v>-3.0000000000000249E-2</v>
      </c>
      <c r="S207" s="3">
        <v>0</v>
      </c>
      <c r="AA207" s="16"/>
    </row>
    <row r="208" spans="1:27" x14ac:dyDescent="0.25">
      <c r="A208" s="5" t="s">
        <v>257</v>
      </c>
      <c r="B208" t="s">
        <v>258</v>
      </c>
      <c r="J208" s="3" t="s">
        <v>259</v>
      </c>
      <c r="S208" s="3" t="s">
        <v>260</v>
      </c>
    </row>
    <row r="209" spans="1:27" x14ac:dyDescent="0.25">
      <c r="A209" s="5" t="s">
        <v>261</v>
      </c>
      <c r="B209" t="s">
        <v>262</v>
      </c>
      <c r="J209" s="3" t="s">
        <v>262</v>
      </c>
      <c r="S209" s="3" t="s">
        <v>262</v>
      </c>
      <c r="AA209" s="13" t="s">
        <v>262</v>
      </c>
    </row>
    <row r="210" spans="1:27" x14ac:dyDescent="0.25">
      <c r="A210" s="5" t="s">
        <v>263</v>
      </c>
      <c r="B210">
        <v>12.2</v>
      </c>
      <c r="J210" s="3">
        <v>12.9</v>
      </c>
      <c r="R210" s="11">
        <f t="shared" ref="R210:R248" si="11">J210-B210</f>
        <v>0.70000000000000107</v>
      </c>
      <c r="S210" s="3">
        <v>27.9</v>
      </c>
      <c r="AA210" s="16">
        <f t="shared" ref="AA210:AA244" si="12">R210+S210</f>
        <v>28.6</v>
      </c>
    </row>
    <row r="211" spans="1:27" x14ac:dyDescent="0.25">
      <c r="A211" s="5" t="s">
        <v>264</v>
      </c>
      <c r="B211">
        <v>0</v>
      </c>
      <c r="J211" s="3">
        <v>0</v>
      </c>
      <c r="R211" s="11">
        <f t="shared" si="11"/>
        <v>0</v>
      </c>
      <c r="S211" s="3">
        <v>0</v>
      </c>
      <c r="AA211" s="16">
        <f t="shared" si="12"/>
        <v>0</v>
      </c>
    </row>
    <row r="212" spans="1:27" x14ac:dyDescent="0.25">
      <c r="A212" s="5" t="s">
        <v>265</v>
      </c>
      <c r="B212">
        <v>0</v>
      </c>
      <c r="J212" s="3">
        <v>0</v>
      </c>
      <c r="R212" s="11">
        <f t="shared" si="11"/>
        <v>0</v>
      </c>
      <c r="S212" s="3">
        <v>0</v>
      </c>
      <c r="AA212" s="16">
        <f t="shared" si="12"/>
        <v>0</v>
      </c>
    </row>
    <row r="213" spans="1:27" x14ac:dyDescent="0.25">
      <c r="A213" s="5" t="s">
        <v>266</v>
      </c>
      <c r="B213">
        <v>0</v>
      </c>
      <c r="J213" s="3">
        <v>0</v>
      </c>
      <c r="R213" s="11">
        <f t="shared" si="11"/>
        <v>0</v>
      </c>
      <c r="S213" s="3">
        <v>0</v>
      </c>
      <c r="AA213" s="16">
        <f t="shared" si="12"/>
        <v>0</v>
      </c>
    </row>
    <row r="214" spans="1:27" x14ac:dyDescent="0.25">
      <c r="A214" s="5" t="s">
        <v>267</v>
      </c>
      <c r="B214">
        <v>0.6</v>
      </c>
      <c r="J214" s="3">
        <v>0.3</v>
      </c>
      <c r="R214" s="11">
        <f t="shared" si="11"/>
        <v>-0.3</v>
      </c>
      <c r="S214" s="3">
        <v>0.5</v>
      </c>
      <c r="AA214" s="16">
        <f t="shared" si="12"/>
        <v>0.2</v>
      </c>
    </row>
    <row r="215" spans="1:27" x14ac:dyDescent="0.25">
      <c r="A215" s="5" t="s">
        <v>268</v>
      </c>
      <c r="B215">
        <v>0</v>
      </c>
      <c r="J215" s="3">
        <v>0</v>
      </c>
      <c r="R215" s="11">
        <f t="shared" si="11"/>
        <v>0</v>
      </c>
      <c r="S215" s="3">
        <v>0</v>
      </c>
      <c r="AA215" s="16">
        <f t="shared" si="12"/>
        <v>0</v>
      </c>
    </row>
    <row r="216" spans="1:27" x14ac:dyDescent="0.25">
      <c r="A216" s="5" t="s">
        <v>269</v>
      </c>
      <c r="B216">
        <v>86.5</v>
      </c>
      <c r="J216" s="3">
        <v>86.2</v>
      </c>
      <c r="R216" s="11">
        <f t="shared" si="11"/>
        <v>-0.29999999999999716</v>
      </c>
      <c r="S216" s="3">
        <v>71.099999999999994</v>
      </c>
      <c r="AA216" s="16">
        <f t="shared" si="12"/>
        <v>70.8</v>
      </c>
    </row>
    <row r="217" spans="1:27" x14ac:dyDescent="0.25">
      <c r="A217" s="5" t="s">
        <v>270</v>
      </c>
      <c r="B217">
        <v>0</v>
      </c>
      <c r="J217" s="3">
        <v>0</v>
      </c>
      <c r="R217" s="11">
        <f t="shared" si="11"/>
        <v>0</v>
      </c>
      <c r="S217" s="3">
        <v>0</v>
      </c>
      <c r="AA217" s="16">
        <f t="shared" si="12"/>
        <v>0</v>
      </c>
    </row>
    <row r="218" spans="1:27" x14ac:dyDescent="0.25">
      <c r="A218" s="5" t="s">
        <v>271</v>
      </c>
      <c r="B218">
        <v>0</v>
      </c>
      <c r="J218" s="3">
        <v>0</v>
      </c>
      <c r="R218" s="11">
        <f t="shared" si="11"/>
        <v>0</v>
      </c>
      <c r="S218" s="3">
        <v>0</v>
      </c>
      <c r="AA218" s="16">
        <f t="shared" si="12"/>
        <v>0</v>
      </c>
    </row>
    <row r="219" spans="1:27" x14ac:dyDescent="0.25">
      <c r="A219" s="5" t="s">
        <v>272</v>
      </c>
      <c r="B219">
        <v>0</v>
      </c>
      <c r="J219" s="3">
        <v>0</v>
      </c>
      <c r="R219" s="11">
        <f t="shared" si="11"/>
        <v>0</v>
      </c>
      <c r="S219" s="3">
        <v>0</v>
      </c>
      <c r="AA219" s="16">
        <f t="shared" si="12"/>
        <v>0</v>
      </c>
    </row>
    <row r="220" spans="1:27" x14ac:dyDescent="0.25">
      <c r="A220" s="5" t="s">
        <v>273</v>
      </c>
      <c r="B220">
        <v>0.7</v>
      </c>
      <c r="J220" s="3">
        <v>0.6</v>
      </c>
      <c r="R220" s="11">
        <f t="shared" si="11"/>
        <v>-9.9999999999999978E-2</v>
      </c>
      <c r="S220" s="3">
        <v>0.6</v>
      </c>
      <c r="AA220" s="16">
        <f t="shared" si="12"/>
        <v>0.5</v>
      </c>
    </row>
    <row r="221" spans="1:27" x14ac:dyDescent="0.25">
      <c r="A221" s="5" t="s">
        <v>274</v>
      </c>
      <c r="B221">
        <v>0</v>
      </c>
      <c r="J221" s="3">
        <v>0</v>
      </c>
      <c r="R221" s="11">
        <f t="shared" si="11"/>
        <v>0</v>
      </c>
      <c r="S221" s="3">
        <v>0</v>
      </c>
      <c r="AA221" s="16">
        <f t="shared" si="12"/>
        <v>0</v>
      </c>
    </row>
    <row r="222" spans="1:27" x14ac:dyDescent="0.25">
      <c r="A222" s="5" t="s">
        <v>275</v>
      </c>
      <c r="B222" t="s">
        <v>262</v>
      </c>
      <c r="J222" s="3" t="s">
        <v>262</v>
      </c>
      <c r="S222" s="3" t="s">
        <v>262</v>
      </c>
      <c r="AA222" s="13" t="s">
        <v>262</v>
      </c>
    </row>
    <row r="223" spans="1:27" x14ac:dyDescent="0.25">
      <c r="A223" s="5" t="s">
        <v>276</v>
      </c>
      <c r="B223">
        <v>0</v>
      </c>
      <c r="J223" s="3">
        <v>0</v>
      </c>
      <c r="R223" s="11">
        <f t="shared" si="11"/>
        <v>0</v>
      </c>
      <c r="S223" s="3">
        <v>0</v>
      </c>
      <c r="AA223" s="16">
        <f t="shared" si="12"/>
        <v>0</v>
      </c>
    </row>
    <row r="224" spans="1:27" x14ac:dyDescent="0.25">
      <c r="A224" s="5" t="s">
        <v>277</v>
      </c>
      <c r="B224">
        <v>12</v>
      </c>
      <c r="J224" s="3">
        <v>12.7</v>
      </c>
      <c r="R224" s="11">
        <f t="shared" si="11"/>
        <v>0.69999999999999929</v>
      </c>
      <c r="S224" s="3">
        <v>0</v>
      </c>
      <c r="AA224" s="19">
        <f>R224+S226</f>
        <v>28.599999999999998</v>
      </c>
    </row>
    <row r="225" spans="1:27" x14ac:dyDescent="0.25">
      <c r="A225" s="5" t="s">
        <v>278</v>
      </c>
      <c r="B225">
        <v>0.1</v>
      </c>
      <c r="J225" s="3">
        <v>0.1</v>
      </c>
      <c r="R225" s="11">
        <f t="shared" si="11"/>
        <v>0</v>
      </c>
      <c r="S225" s="3">
        <v>0</v>
      </c>
      <c r="AA225" s="16">
        <f t="shared" si="12"/>
        <v>0</v>
      </c>
    </row>
    <row r="226" spans="1:27" x14ac:dyDescent="0.25">
      <c r="A226" s="5" t="s">
        <v>279</v>
      </c>
      <c r="B226">
        <v>0.1</v>
      </c>
      <c r="J226" s="3">
        <v>0.1</v>
      </c>
      <c r="R226" s="11">
        <f t="shared" si="11"/>
        <v>0</v>
      </c>
      <c r="S226" s="22">
        <v>27.9</v>
      </c>
      <c r="T226" s="23" t="s">
        <v>574</v>
      </c>
      <c r="U226" s="18"/>
      <c r="AA226" s="16">
        <f>R226+S224</f>
        <v>0</v>
      </c>
    </row>
    <row r="227" spans="1:27" x14ac:dyDescent="0.25">
      <c r="A227" s="5" t="s">
        <v>280</v>
      </c>
      <c r="B227">
        <v>0</v>
      </c>
      <c r="J227" s="3">
        <v>0</v>
      </c>
      <c r="R227" s="11">
        <f t="shared" si="11"/>
        <v>0</v>
      </c>
      <c r="S227" s="3">
        <v>0</v>
      </c>
      <c r="AA227" s="16">
        <f t="shared" si="12"/>
        <v>0</v>
      </c>
    </row>
    <row r="228" spans="1:27" x14ac:dyDescent="0.25">
      <c r="A228" s="5" t="s">
        <v>281</v>
      </c>
      <c r="B228">
        <v>0</v>
      </c>
      <c r="J228" s="3">
        <v>0</v>
      </c>
      <c r="R228" s="11">
        <f t="shared" si="11"/>
        <v>0</v>
      </c>
      <c r="S228" s="3">
        <v>0</v>
      </c>
      <c r="AA228" s="16">
        <f t="shared" si="12"/>
        <v>0</v>
      </c>
    </row>
    <row r="229" spans="1:27" x14ac:dyDescent="0.25">
      <c r="A229" s="5" t="s">
        <v>282</v>
      </c>
      <c r="B229">
        <v>0</v>
      </c>
      <c r="J229" s="3">
        <v>0</v>
      </c>
      <c r="R229" s="11">
        <f t="shared" si="11"/>
        <v>0</v>
      </c>
      <c r="S229" s="3">
        <v>0</v>
      </c>
      <c r="AA229" s="16">
        <f t="shared" si="12"/>
        <v>0</v>
      </c>
    </row>
    <row r="230" spans="1:27" x14ac:dyDescent="0.25">
      <c r="A230" s="5" t="s">
        <v>283</v>
      </c>
      <c r="B230">
        <v>87.8</v>
      </c>
      <c r="J230" s="3">
        <v>87.1</v>
      </c>
      <c r="R230" s="11">
        <f t="shared" si="11"/>
        <v>-0.70000000000000284</v>
      </c>
      <c r="S230" s="3">
        <v>72.099999999999994</v>
      </c>
      <c r="AA230" s="16">
        <f t="shared" si="12"/>
        <v>71.399999999999991</v>
      </c>
    </row>
    <row r="231" spans="1:27" x14ac:dyDescent="0.25">
      <c r="A231" s="5" t="s">
        <v>284</v>
      </c>
      <c r="B231">
        <v>0</v>
      </c>
      <c r="J231" s="3">
        <v>0</v>
      </c>
      <c r="R231" s="11">
        <f t="shared" si="11"/>
        <v>0</v>
      </c>
      <c r="S231" s="3">
        <v>0</v>
      </c>
      <c r="AA231" s="16">
        <f t="shared" si="12"/>
        <v>0</v>
      </c>
    </row>
    <row r="232" spans="1:27" x14ac:dyDescent="0.25">
      <c r="A232" s="5" t="s">
        <v>285</v>
      </c>
      <c r="B232" t="s">
        <v>262</v>
      </c>
      <c r="J232" s="3" t="s">
        <v>262</v>
      </c>
      <c r="S232" s="3" t="s">
        <v>262</v>
      </c>
      <c r="AA232" s="13" t="s">
        <v>262</v>
      </c>
    </row>
    <row r="233" spans="1:27" x14ac:dyDescent="0.25">
      <c r="A233" s="5" t="s">
        <v>286</v>
      </c>
      <c r="B233">
        <v>0</v>
      </c>
      <c r="J233" s="3">
        <v>0</v>
      </c>
      <c r="R233" s="11">
        <f t="shared" si="11"/>
        <v>0</v>
      </c>
      <c r="S233" s="3">
        <v>0</v>
      </c>
      <c r="AA233" s="16">
        <f t="shared" si="12"/>
        <v>0</v>
      </c>
    </row>
    <row r="234" spans="1:27" x14ac:dyDescent="0.25">
      <c r="A234" s="5" t="s">
        <v>287</v>
      </c>
      <c r="B234">
        <v>0</v>
      </c>
      <c r="J234" s="3">
        <v>0</v>
      </c>
      <c r="R234" s="11">
        <f t="shared" si="11"/>
        <v>0</v>
      </c>
      <c r="S234" s="3">
        <v>0</v>
      </c>
      <c r="AA234" s="16">
        <f t="shared" si="12"/>
        <v>0</v>
      </c>
    </row>
    <row r="235" spans="1:27" x14ac:dyDescent="0.25">
      <c r="A235" s="5" t="s">
        <v>288</v>
      </c>
      <c r="B235">
        <v>11.72</v>
      </c>
      <c r="J235" s="3">
        <v>12.4</v>
      </c>
      <c r="R235" s="11">
        <f t="shared" si="11"/>
        <v>0.67999999999999972</v>
      </c>
      <c r="S235" s="3">
        <v>26.81</v>
      </c>
      <c r="AA235" s="16">
        <f t="shared" si="12"/>
        <v>27.49</v>
      </c>
    </row>
    <row r="236" spans="1:27" x14ac:dyDescent="0.25">
      <c r="A236" s="5" t="s">
        <v>289</v>
      </c>
      <c r="B236">
        <v>0</v>
      </c>
      <c r="J236" s="3">
        <v>0</v>
      </c>
      <c r="R236" s="11">
        <f t="shared" si="11"/>
        <v>0</v>
      </c>
      <c r="S236" s="3">
        <v>0</v>
      </c>
      <c r="AA236" s="16">
        <f t="shared" si="12"/>
        <v>0</v>
      </c>
    </row>
    <row r="237" spans="1:27" x14ac:dyDescent="0.25">
      <c r="A237" s="5" t="s">
        <v>290</v>
      </c>
      <c r="B237">
        <v>0</v>
      </c>
      <c r="J237" s="3">
        <v>0</v>
      </c>
      <c r="R237" s="11">
        <f t="shared" si="11"/>
        <v>0</v>
      </c>
      <c r="S237" s="3">
        <v>0</v>
      </c>
      <c r="AA237" s="16">
        <f t="shared" si="12"/>
        <v>0</v>
      </c>
    </row>
    <row r="238" spans="1:27" x14ac:dyDescent="0.25">
      <c r="A238" s="5" t="s">
        <v>291</v>
      </c>
      <c r="B238">
        <v>0</v>
      </c>
      <c r="J238" s="3">
        <v>0</v>
      </c>
      <c r="R238" s="11">
        <f t="shared" si="11"/>
        <v>0</v>
      </c>
      <c r="S238" s="3">
        <v>0</v>
      </c>
      <c r="AA238" s="16">
        <f t="shared" si="12"/>
        <v>0</v>
      </c>
    </row>
    <row r="239" spans="1:27" x14ac:dyDescent="0.25">
      <c r="A239" s="5" t="s">
        <v>292</v>
      </c>
      <c r="B239">
        <v>0</v>
      </c>
      <c r="J239" s="3">
        <v>0</v>
      </c>
      <c r="R239" s="11">
        <f t="shared" si="11"/>
        <v>0</v>
      </c>
      <c r="S239" s="3">
        <v>0</v>
      </c>
      <c r="AA239" s="16">
        <f t="shared" si="12"/>
        <v>0</v>
      </c>
    </row>
    <row r="240" spans="1:27" x14ac:dyDescent="0.25">
      <c r="A240" s="5" t="s">
        <v>293</v>
      </c>
      <c r="B240">
        <v>0</v>
      </c>
      <c r="J240" s="3">
        <v>0</v>
      </c>
      <c r="R240" s="11">
        <f t="shared" si="11"/>
        <v>0</v>
      </c>
      <c r="S240" s="3">
        <v>0</v>
      </c>
      <c r="AA240" s="16">
        <f t="shared" si="12"/>
        <v>0</v>
      </c>
    </row>
    <row r="241" spans="1:27" x14ac:dyDescent="0.25">
      <c r="A241" s="5" t="s">
        <v>294</v>
      </c>
      <c r="B241">
        <v>0</v>
      </c>
      <c r="J241" s="3">
        <v>0</v>
      </c>
      <c r="R241" s="11">
        <f t="shared" si="11"/>
        <v>0</v>
      </c>
      <c r="S241" s="3">
        <v>0</v>
      </c>
      <c r="AA241" s="16">
        <f t="shared" si="12"/>
        <v>0</v>
      </c>
    </row>
    <row r="242" spans="1:27" x14ac:dyDescent="0.25">
      <c r="A242" s="5" t="s">
        <v>295</v>
      </c>
      <c r="B242">
        <v>0</v>
      </c>
      <c r="J242" s="3">
        <v>0</v>
      </c>
      <c r="R242" s="11">
        <f t="shared" si="11"/>
        <v>0</v>
      </c>
      <c r="S242" s="3">
        <v>0</v>
      </c>
      <c r="AA242" s="16">
        <f t="shared" si="12"/>
        <v>0</v>
      </c>
    </row>
    <row r="243" spans="1:27" x14ac:dyDescent="0.25">
      <c r="A243" s="5" t="s">
        <v>296</v>
      </c>
      <c r="B243">
        <v>0</v>
      </c>
      <c r="J243" s="3">
        <v>0</v>
      </c>
      <c r="R243" s="11">
        <f t="shared" si="11"/>
        <v>0</v>
      </c>
      <c r="S243" s="3">
        <v>0</v>
      </c>
      <c r="AA243" s="16">
        <f t="shared" si="12"/>
        <v>0</v>
      </c>
    </row>
    <row r="244" spans="1:27" x14ac:dyDescent="0.25">
      <c r="A244" s="5" t="s">
        <v>297</v>
      </c>
      <c r="B244">
        <v>88.28</v>
      </c>
      <c r="J244" s="3">
        <v>87.6</v>
      </c>
      <c r="R244" s="11">
        <f t="shared" si="11"/>
        <v>-0.68000000000000682</v>
      </c>
      <c r="S244" s="3">
        <v>73.19</v>
      </c>
      <c r="AA244" s="16">
        <f t="shared" si="12"/>
        <v>72.509999999999991</v>
      </c>
    </row>
    <row r="245" spans="1:27" x14ac:dyDescent="0.25">
      <c r="A245" s="5" t="s">
        <v>298</v>
      </c>
      <c r="B245" t="s">
        <v>299</v>
      </c>
      <c r="J245" s="3" t="s">
        <v>300</v>
      </c>
      <c r="S245" s="3" t="s">
        <v>301</v>
      </c>
    </row>
    <row r="246" spans="1:27" x14ac:dyDescent="0.25">
      <c r="A246" s="5" t="s">
        <v>302</v>
      </c>
      <c r="S246" s="3" t="s">
        <v>303</v>
      </c>
    </row>
    <row r="247" spans="1:27" x14ac:dyDescent="0.25">
      <c r="A247" s="5" t="s">
        <v>304</v>
      </c>
      <c r="S247" s="3">
        <v>95.21</v>
      </c>
    </row>
    <row r="248" spans="1:27" x14ac:dyDescent="0.25">
      <c r="A248" s="5" t="s">
        <v>305</v>
      </c>
      <c r="S248" s="3">
        <v>4.79</v>
      </c>
    </row>
    <row r="249" spans="1:27" x14ac:dyDescent="0.25">
      <c r="A249" s="5" t="s">
        <v>306</v>
      </c>
      <c r="S249" s="3" t="s">
        <v>218</v>
      </c>
    </row>
    <row r="250" spans="1:27" x14ac:dyDescent="0.25">
      <c r="A250" s="5" t="s">
        <v>307</v>
      </c>
      <c r="S250" s="3">
        <v>1.78</v>
      </c>
    </row>
    <row r="251" spans="1:27" x14ac:dyDescent="0.25">
      <c r="A251" s="5" t="s">
        <v>308</v>
      </c>
      <c r="S251" s="3">
        <v>1.91</v>
      </c>
    </row>
    <row r="252" spans="1:27" x14ac:dyDescent="0.25">
      <c r="A252" s="5" t="s">
        <v>309</v>
      </c>
      <c r="S252" s="3">
        <v>1.29</v>
      </c>
    </row>
    <row r="253" spans="1:27" x14ac:dyDescent="0.25">
      <c r="A253" s="5" t="s">
        <v>310</v>
      </c>
      <c r="S253" s="3" t="s">
        <v>311</v>
      </c>
    </row>
    <row r="254" spans="1:27" x14ac:dyDescent="0.25">
      <c r="A254" s="5" t="s">
        <v>312</v>
      </c>
      <c r="S254" s="3">
        <v>13</v>
      </c>
    </row>
    <row r="255" spans="1:27" x14ac:dyDescent="0.25">
      <c r="A255" s="5" t="s">
        <v>313</v>
      </c>
      <c r="S255" s="3">
        <v>0.74</v>
      </c>
    </row>
    <row r="256" spans="1:27" x14ac:dyDescent="0.25">
      <c r="A256" s="5" t="s">
        <v>314</v>
      </c>
      <c r="S256" s="3">
        <v>28.54</v>
      </c>
    </row>
    <row r="257" spans="1:19" x14ac:dyDescent="0.25">
      <c r="A257" s="5" t="s">
        <v>315</v>
      </c>
      <c r="S257" s="3">
        <v>0.78</v>
      </c>
    </row>
    <row r="258" spans="1:19" x14ac:dyDescent="0.25">
      <c r="A258" s="5" t="s">
        <v>316</v>
      </c>
      <c r="S258" s="3">
        <v>28.5</v>
      </c>
    </row>
    <row r="259" spans="1:19" x14ac:dyDescent="0.25">
      <c r="A259" s="5" t="s">
        <v>317</v>
      </c>
      <c r="S259" s="3">
        <v>0.79</v>
      </c>
    </row>
    <row r="260" spans="1:19" x14ac:dyDescent="0.25">
      <c r="A260" s="5" t="s">
        <v>318</v>
      </c>
      <c r="S260" s="3">
        <v>28.49</v>
      </c>
    </row>
    <row r="261" spans="1:19" x14ac:dyDescent="0.25">
      <c r="A261" s="5" t="s">
        <v>319</v>
      </c>
      <c r="S261" s="3">
        <v>3.5</v>
      </c>
    </row>
    <row r="262" spans="1:19" x14ac:dyDescent="0.25">
      <c r="A262" s="5" t="s">
        <v>320</v>
      </c>
      <c r="S262" s="3">
        <v>3.23</v>
      </c>
    </row>
    <row r="263" spans="1:19" x14ac:dyDescent="0.25">
      <c r="A263" s="5" t="s">
        <v>321</v>
      </c>
      <c r="S263" s="3">
        <v>2.88</v>
      </c>
    </row>
    <row r="264" spans="1:19" x14ac:dyDescent="0.25">
      <c r="A264" s="5" t="s">
        <v>322</v>
      </c>
      <c r="S264" s="3">
        <v>2.84</v>
      </c>
    </row>
    <row r="265" spans="1:19" x14ac:dyDescent="0.25">
      <c r="A265" s="5" t="s">
        <v>323</v>
      </c>
      <c r="S265" s="3">
        <v>0</v>
      </c>
    </row>
    <row r="266" spans="1:19" x14ac:dyDescent="0.25">
      <c r="A266" s="5" t="s">
        <v>324</v>
      </c>
      <c r="S266" s="3">
        <v>2.9</v>
      </c>
    </row>
    <row r="267" spans="1:19" x14ac:dyDescent="0.25">
      <c r="A267" s="5" t="s">
        <v>325</v>
      </c>
      <c r="S267" s="3">
        <v>0</v>
      </c>
    </row>
    <row r="268" spans="1:19" x14ac:dyDescent="0.25">
      <c r="A268" s="5" t="s">
        <v>326</v>
      </c>
      <c r="S268" s="3">
        <v>0</v>
      </c>
    </row>
    <row r="269" spans="1:19" x14ac:dyDescent="0.25">
      <c r="A269" s="5" t="s">
        <v>327</v>
      </c>
      <c r="S269" s="3">
        <v>0</v>
      </c>
    </row>
    <row r="270" spans="1:19" x14ac:dyDescent="0.25">
      <c r="A270" s="5" t="s">
        <v>328</v>
      </c>
      <c r="S270" s="3">
        <v>0</v>
      </c>
    </row>
    <row r="271" spans="1:19" x14ac:dyDescent="0.25">
      <c r="A271" s="5" t="s">
        <v>329</v>
      </c>
      <c r="S271" s="3">
        <v>0</v>
      </c>
    </row>
    <row r="272" spans="1:19" x14ac:dyDescent="0.25">
      <c r="A272" s="5" t="s">
        <v>330</v>
      </c>
      <c r="S272" s="3">
        <v>0</v>
      </c>
    </row>
    <row r="273" spans="1:19" x14ac:dyDescent="0.25">
      <c r="A273" s="5" t="s">
        <v>331</v>
      </c>
      <c r="S273" s="3">
        <v>0</v>
      </c>
    </row>
    <row r="274" spans="1:19" x14ac:dyDescent="0.25">
      <c r="A274" s="5" t="s">
        <v>332</v>
      </c>
      <c r="S274" s="3">
        <v>0</v>
      </c>
    </row>
    <row r="275" spans="1:19" x14ac:dyDescent="0.25">
      <c r="A275" s="5" t="s">
        <v>333</v>
      </c>
      <c r="S275" s="3">
        <v>0</v>
      </c>
    </row>
    <row r="276" spans="1:19" x14ac:dyDescent="0.25">
      <c r="A276" s="5" t="s">
        <v>334</v>
      </c>
      <c r="S276" s="3">
        <v>0</v>
      </c>
    </row>
    <row r="277" spans="1:19" x14ac:dyDescent="0.25">
      <c r="A277" s="5" t="s">
        <v>335</v>
      </c>
      <c r="S277" s="3">
        <v>0</v>
      </c>
    </row>
    <row r="278" spans="1:19" x14ac:dyDescent="0.25">
      <c r="A278" s="5" t="s">
        <v>336</v>
      </c>
      <c r="S278" s="3">
        <v>0.63</v>
      </c>
    </row>
    <row r="279" spans="1:19" x14ac:dyDescent="0.25">
      <c r="A279" s="5" t="s">
        <v>337</v>
      </c>
      <c r="S279" s="3">
        <v>0</v>
      </c>
    </row>
    <row r="280" spans="1:19" x14ac:dyDescent="0.25">
      <c r="A280" s="5" t="s">
        <v>338</v>
      </c>
      <c r="S280" s="3">
        <v>0.34</v>
      </c>
    </row>
    <row r="281" spans="1:19" x14ac:dyDescent="0.25">
      <c r="A281" s="5" t="s">
        <v>339</v>
      </c>
      <c r="S281" s="3">
        <v>0</v>
      </c>
    </row>
    <row r="282" spans="1:19" x14ac:dyDescent="0.25">
      <c r="A282" s="5" t="s">
        <v>340</v>
      </c>
      <c r="S282" s="3">
        <v>0</v>
      </c>
    </row>
    <row r="283" spans="1:19" x14ac:dyDescent="0.25">
      <c r="A283" s="5" t="s">
        <v>341</v>
      </c>
      <c r="S283" s="3">
        <v>1.41</v>
      </c>
    </row>
    <row r="284" spans="1:19" x14ac:dyDescent="0.25">
      <c r="A284" s="5" t="s">
        <v>342</v>
      </c>
      <c r="S284" s="3">
        <v>0</v>
      </c>
    </row>
    <row r="285" spans="1:19" x14ac:dyDescent="0.25">
      <c r="A285" s="5" t="s">
        <v>343</v>
      </c>
      <c r="S285" s="3">
        <v>1.4</v>
      </c>
    </row>
    <row r="286" spans="1:19" x14ac:dyDescent="0.25">
      <c r="A286" s="5" t="s">
        <v>344</v>
      </c>
      <c r="S286" s="3">
        <v>26.43</v>
      </c>
    </row>
    <row r="287" spans="1:19" x14ac:dyDescent="0.25">
      <c r="A287" s="5" t="s">
        <v>345</v>
      </c>
      <c r="S287" s="3">
        <v>26.36</v>
      </c>
    </row>
    <row r="288" spans="1:19" x14ac:dyDescent="0.25">
      <c r="A288" s="5" t="s">
        <v>346</v>
      </c>
      <c r="S288" s="3">
        <v>48.78</v>
      </c>
    </row>
    <row r="289" spans="1:19" x14ac:dyDescent="0.25">
      <c r="A289" s="5" t="s">
        <v>347</v>
      </c>
      <c r="S289" s="3">
        <v>2.84</v>
      </c>
    </row>
    <row r="290" spans="1:19" x14ac:dyDescent="0.25">
      <c r="A290" s="5" t="s">
        <v>348</v>
      </c>
      <c r="S290" s="3">
        <v>29.29</v>
      </c>
    </row>
    <row r="291" spans="1:19" x14ac:dyDescent="0.25">
      <c r="A291" s="5" t="s">
        <v>349</v>
      </c>
      <c r="S291" s="3">
        <v>0</v>
      </c>
    </row>
    <row r="292" spans="1:19" x14ac:dyDescent="0.25">
      <c r="A292" s="5" t="s">
        <v>350</v>
      </c>
      <c r="S292" s="3">
        <v>2.77</v>
      </c>
    </row>
    <row r="293" spans="1:19" x14ac:dyDescent="0.25">
      <c r="A293" s="5" t="s">
        <v>351</v>
      </c>
      <c r="S293" s="3">
        <v>1.97</v>
      </c>
    </row>
    <row r="294" spans="1:19" x14ac:dyDescent="0.25">
      <c r="A294" s="5" t="s">
        <v>352</v>
      </c>
      <c r="S294" s="3">
        <v>0</v>
      </c>
    </row>
    <row r="295" spans="1:19" x14ac:dyDescent="0.25">
      <c r="A295" s="5" t="s">
        <v>353</v>
      </c>
      <c r="S295" s="3">
        <v>4.2699999999999996</v>
      </c>
    </row>
    <row r="296" spans="1:19" x14ac:dyDescent="0.25">
      <c r="A296" s="5" t="s">
        <v>354</v>
      </c>
      <c r="S296" s="3">
        <v>1.03</v>
      </c>
    </row>
    <row r="297" spans="1:19" x14ac:dyDescent="0.25">
      <c r="A297" s="5" t="s">
        <v>355</v>
      </c>
      <c r="S297" s="3">
        <v>1.05</v>
      </c>
    </row>
    <row r="298" spans="1:19" x14ac:dyDescent="0.25">
      <c r="A298" s="5" t="s">
        <v>356</v>
      </c>
      <c r="S298" s="3">
        <v>1.1100000000000001</v>
      </c>
    </row>
    <row r="299" spans="1:19" x14ac:dyDescent="0.25">
      <c r="A299" s="5" t="s">
        <v>357</v>
      </c>
      <c r="S299" s="3">
        <v>1.3</v>
      </c>
    </row>
    <row r="300" spans="1:19" x14ac:dyDescent="0.25">
      <c r="A300" s="5" t="s">
        <v>358</v>
      </c>
      <c r="S300" s="3">
        <v>0</v>
      </c>
    </row>
    <row r="301" spans="1:19" x14ac:dyDescent="0.25">
      <c r="A301" s="5" t="s">
        <v>359</v>
      </c>
      <c r="S301" s="3">
        <v>0.83</v>
      </c>
    </row>
    <row r="302" spans="1:19" x14ac:dyDescent="0.25">
      <c r="A302" s="5" t="s">
        <v>360</v>
      </c>
      <c r="S302" s="3">
        <v>0.61</v>
      </c>
    </row>
    <row r="303" spans="1:19" x14ac:dyDescent="0.25">
      <c r="A303" s="5" t="s">
        <v>361</v>
      </c>
      <c r="S303" s="3">
        <v>0</v>
      </c>
    </row>
    <row r="304" spans="1:19" x14ac:dyDescent="0.25">
      <c r="A304" s="5" t="s">
        <v>362</v>
      </c>
      <c r="S304" s="3">
        <v>0</v>
      </c>
    </row>
    <row r="305" spans="1:19" x14ac:dyDescent="0.25">
      <c r="A305" s="5" t="s">
        <v>363</v>
      </c>
      <c r="S305" s="3">
        <v>0</v>
      </c>
    </row>
    <row r="306" spans="1:19" x14ac:dyDescent="0.25">
      <c r="A306" s="5" t="s">
        <v>364</v>
      </c>
      <c r="S306" s="3">
        <v>0.17</v>
      </c>
    </row>
    <row r="307" spans="1:19" x14ac:dyDescent="0.25">
      <c r="A307" s="5" t="s">
        <v>365</v>
      </c>
      <c r="S307" s="3">
        <v>0</v>
      </c>
    </row>
    <row r="308" spans="1:19" x14ac:dyDescent="0.25">
      <c r="A308" s="5" t="s">
        <v>366</v>
      </c>
      <c r="S308" s="3">
        <v>0</v>
      </c>
    </row>
    <row r="309" spans="1:19" x14ac:dyDescent="0.25">
      <c r="A309" s="5" t="s">
        <v>367</v>
      </c>
      <c r="S309" s="3">
        <v>0</v>
      </c>
    </row>
    <row r="310" spans="1:19" x14ac:dyDescent="0.25">
      <c r="A310" s="5" t="s">
        <v>368</v>
      </c>
      <c r="S310" s="3">
        <v>0</v>
      </c>
    </row>
    <row r="311" spans="1:19" x14ac:dyDescent="0.25">
      <c r="A311" s="5" t="s">
        <v>369</v>
      </c>
      <c r="S311" s="3">
        <v>0</v>
      </c>
    </row>
    <row r="312" spans="1:19" x14ac:dyDescent="0.25">
      <c r="A312" s="5" t="s">
        <v>370</v>
      </c>
      <c r="S312" s="3">
        <v>0</v>
      </c>
    </row>
    <row r="313" spans="1:19" x14ac:dyDescent="0.25">
      <c r="A313" s="5" t="s">
        <v>371</v>
      </c>
      <c r="S313" s="3">
        <v>0</v>
      </c>
    </row>
    <row r="314" spans="1:19" x14ac:dyDescent="0.25">
      <c r="A314" s="5" t="s">
        <v>372</v>
      </c>
      <c r="S314" s="3">
        <v>0</v>
      </c>
    </row>
    <row r="315" spans="1:19" x14ac:dyDescent="0.25">
      <c r="A315" s="5" t="s">
        <v>373</v>
      </c>
      <c r="S315" s="3">
        <v>0</v>
      </c>
    </row>
    <row r="316" spans="1:19" x14ac:dyDescent="0.25">
      <c r="A316" s="5" t="s">
        <v>374</v>
      </c>
      <c r="S316" s="3">
        <v>0</v>
      </c>
    </row>
    <row r="317" spans="1:19" x14ac:dyDescent="0.25">
      <c r="A317" s="5" t="s">
        <v>375</v>
      </c>
      <c r="S317" s="3">
        <v>0</v>
      </c>
    </row>
    <row r="318" spans="1:19" x14ac:dyDescent="0.25">
      <c r="A318" s="5" t="s">
        <v>376</v>
      </c>
      <c r="S318" s="3">
        <v>0.83</v>
      </c>
    </row>
    <row r="319" spans="1:19" x14ac:dyDescent="0.25">
      <c r="A319" s="5" t="s">
        <v>377</v>
      </c>
      <c r="S319" s="3">
        <v>0</v>
      </c>
    </row>
    <row r="320" spans="1:19" x14ac:dyDescent="0.25">
      <c r="A320" s="5" t="s">
        <v>378</v>
      </c>
      <c r="S320" s="3">
        <v>0</v>
      </c>
    </row>
    <row r="321" spans="1:19" x14ac:dyDescent="0.25">
      <c r="A321" s="5" t="s">
        <v>379</v>
      </c>
      <c r="S321" s="3">
        <v>0</v>
      </c>
    </row>
    <row r="322" spans="1:19" x14ac:dyDescent="0.25">
      <c r="A322" s="5" t="s">
        <v>380</v>
      </c>
      <c r="S322" s="3">
        <v>0</v>
      </c>
    </row>
    <row r="323" spans="1:19" x14ac:dyDescent="0.25">
      <c r="A323" s="5" t="s">
        <v>381</v>
      </c>
      <c r="S323" s="3">
        <v>0</v>
      </c>
    </row>
    <row r="324" spans="1:19" x14ac:dyDescent="0.25">
      <c r="A324" s="5" t="s">
        <v>382</v>
      </c>
      <c r="S324" s="3">
        <v>0</v>
      </c>
    </row>
    <row r="325" spans="1:19" x14ac:dyDescent="0.25">
      <c r="A325" s="5" t="s">
        <v>383</v>
      </c>
      <c r="S325" s="3">
        <v>0</v>
      </c>
    </row>
    <row r="326" spans="1:19" x14ac:dyDescent="0.25">
      <c r="A326" s="5" t="s">
        <v>384</v>
      </c>
      <c r="S326" s="3">
        <v>0</v>
      </c>
    </row>
    <row r="327" spans="1:19" x14ac:dyDescent="0.25">
      <c r="A327" s="5" t="s">
        <v>385</v>
      </c>
      <c r="S327" s="3">
        <v>0</v>
      </c>
    </row>
    <row r="328" spans="1:19" x14ac:dyDescent="0.25">
      <c r="A328" s="5" t="s">
        <v>386</v>
      </c>
      <c r="S328" s="3">
        <v>0</v>
      </c>
    </row>
    <row r="329" spans="1:19" x14ac:dyDescent="0.25">
      <c r="A329" s="5" t="s">
        <v>387</v>
      </c>
      <c r="S329" s="3">
        <v>0</v>
      </c>
    </row>
    <row r="330" spans="1:19" x14ac:dyDescent="0.25">
      <c r="A330" s="5" t="s">
        <v>388</v>
      </c>
      <c r="S330" s="3">
        <v>0</v>
      </c>
    </row>
    <row r="331" spans="1:19" x14ac:dyDescent="0.25">
      <c r="A331" s="5" t="s">
        <v>389</v>
      </c>
      <c r="S331" s="3">
        <v>0</v>
      </c>
    </row>
    <row r="332" spans="1:19" x14ac:dyDescent="0.25">
      <c r="A332" s="5" t="s">
        <v>390</v>
      </c>
      <c r="S332" s="3">
        <v>0</v>
      </c>
    </row>
    <row r="333" spans="1:19" x14ac:dyDescent="0.25">
      <c r="A333" s="5" t="s">
        <v>391</v>
      </c>
      <c r="S333" s="3">
        <v>0</v>
      </c>
    </row>
    <row r="334" spans="1:19" x14ac:dyDescent="0.25">
      <c r="A334" s="5" t="s">
        <v>392</v>
      </c>
      <c r="S334" s="3">
        <v>0</v>
      </c>
    </row>
    <row r="335" spans="1:19" x14ac:dyDescent="0.25">
      <c r="A335" s="5" t="s">
        <v>393</v>
      </c>
      <c r="S335" s="3">
        <v>0</v>
      </c>
    </row>
    <row r="336" spans="1:19" x14ac:dyDescent="0.25">
      <c r="A336" s="5" t="s">
        <v>394</v>
      </c>
      <c r="S336" s="3">
        <v>0</v>
      </c>
    </row>
    <row r="337" spans="1:19" x14ac:dyDescent="0.25">
      <c r="A337" s="5" t="s">
        <v>395</v>
      </c>
      <c r="S337" s="3">
        <v>0.22</v>
      </c>
    </row>
    <row r="338" spans="1:19" x14ac:dyDescent="0.25">
      <c r="A338" s="5" t="s">
        <v>396</v>
      </c>
      <c r="S338" s="3">
        <v>0</v>
      </c>
    </row>
    <row r="339" spans="1:19" x14ac:dyDescent="0.25">
      <c r="A339" s="5" t="s">
        <v>397</v>
      </c>
      <c r="S339" s="3">
        <v>0</v>
      </c>
    </row>
    <row r="340" spans="1:19" x14ac:dyDescent="0.25">
      <c r="A340" s="5" t="s">
        <v>398</v>
      </c>
      <c r="S340" s="3">
        <v>0.35</v>
      </c>
    </row>
    <row r="341" spans="1:19" x14ac:dyDescent="0.25">
      <c r="A341" s="5" t="s">
        <v>399</v>
      </c>
      <c r="S341" s="3">
        <v>0</v>
      </c>
    </row>
    <row r="342" spans="1:19" x14ac:dyDescent="0.25">
      <c r="A342" s="5" t="s">
        <v>400</v>
      </c>
      <c r="S342" s="3">
        <v>0</v>
      </c>
    </row>
    <row r="343" spans="1:19" x14ac:dyDescent="0.25">
      <c r="A343" s="5" t="s">
        <v>401</v>
      </c>
      <c r="S343" s="3">
        <v>0</v>
      </c>
    </row>
    <row r="344" spans="1:19" x14ac:dyDescent="0.25">
      <c r="A344" s="5" t="s">
        <v>402</v>
      </c>
      <c r="S344" s="3">
        <v>0</v>
      </c>
    </row>
    <row r="345" spans="1:19" x14ac:dyDescent="0.25">
      <c r="A345" s="5" t="s">
        <v>403</v>
      </c>
      <c r="S345" s="3">
        <v>21.36</v>
      </c>
    </row>
    <row r="346" spans="1:19" x14ac:dyDescent="0.25">
      <c r="A346" s="5" t="s">
        <v>404</v>
      </c>
      <c r="S346" s="3">
        <v>19.41</v>
      </c>
    </row>
    <row r="347" spans="1:19" x14ac:dyDescent="0.25">
      <c r="A347" s="5" t="s">
        <v>405</v>
      </c>
      <c r="S347" s="3">
        <v>3.83</v>
      </c>
    </row>
    <row r="348" spans="1:19" x14ac:dyDescent="0.25">
      <c r="A348" s="5" t="s">
        <v>406</v>
      </c>
      <c r="S348" s="3">
        <v>21.36</v>
      </c>
    </row>
    <row r="349" spans="1:19" x14ac:dyDescent="0.25">
      <c r="A349" s="5" t="s">
        <v>407</v>
      </c>
      <c r="S349" s="3">
        <v>0</v>
      </c>
    </row>
    <row r="350" spans="1:19" x14ac:dyDescent="0.25">
      <c r="A350" s="5" t="s">
        <v>408</v>
      </c>
      <c r="S350" s="3">
        <v>0.88</v>
      </c>
    </row>
    <row r="351" spans="1:19" x14ac:dyDescent="0.25">
      <c r="A351" s="5" t="s">
        <v>409</v>
      </c>
      <c r="S351" s="3">
        <v>0</v>
      </c>
    </row>
    <row r="352" spans="1:19" x14ac:dyDescent="0.25">
      <c r="A352" s="5" t="s">
        <v>410</v>
      </c>
      <c r="S352" s="3">
        <v>0.05</v>
      </c>
    </row>
    <row r="353" spans="1:19" x14ac:dyDescent="0.25">
      <c r="A353" s="5" t="s">
        <v>411</v>
      </c>
      <c r="S353" s="3">
        <v>1.52</v>
      </c>
    </row>
    <row r="354" spans="1:19" x14ac:dyDescent="0.25">
      <c r="A354" s="5" t="s">
        <v>412</v>
      </c>
      <c r="S354" s="3">
        <v>0.8</v>
      </c>
    </row>
    <row r="355" spans="1:19" x14ac:dyDescent="0.25">
      <c r="A355" s="5" t="s">
        <v>413</v>
      </c>
      <c r="S355" s="3">
        <v>18.920000000000002</v>
      </c>
    </row>
    <row r="356" spans="1:19" x14ac:dyDescent="0.25">
      <c r="A356" s="5" t="s">
        <v>414</v>
      </c>
      <c r="S356" s="3">
        <v>31.32</v>
      </c>
    </row>
    <row r="357" spans="1:19" x14ac:dyDescent="0.25">
      <c r="A357" s="5" t="s">
        <v>415</v>
      </c>
      <c r="S357" s="3">
        <v>15.3</v>
      </c>
    </row>
    <row r="358" spans="1:19" x14ac:dyDescent="0.25">
      <c r="A358" s="5" t="s">
        <v>416</v>
      </c>
      <c r="S358" s="3">
        <v>29.3</v>
      </c>
    </row>
    <row r="359" spans="1:19" x14ac:dyDescent="0.25">
      <c r="A359" s="5" t="s">
        <v>417</v>
      </c>
      <c r="S359" s="3">
        <v>29.3</v>
      </c>
    </row>
    <row r="360" spans="1:19" x14ac:dyDescent="0.25">
      <c r="A360" s="5" t="s">
        <v>418</v>
      </c>
      <c r="S360" s="3">
        <v>0.83</v>
      </c>
    </row>
    <row r="361" spans="1:19" x14ac:dyDescent="0.25">
      <c r="A361" s="5" t="s">
        <v>419</v>
      </c>
      <c r="S361" s="3">
        <v>0</v>
      </c>
    </row>
    <row r="362" spans="1:19" x14ac:dyDescent="0.25">
      <c r="A362" s="5" t="s">
        <v>420</v>
      </c>
      <c r="S362" s="3">
        <v>0.11</v>
      </c>
    </row>
    <row r="363" spans="1:19" x14ac:dyDescent="0.25">
      <c r="A363" s="5" t="s">
        <v>421</v>
      </c>
      <c r="S363" s="3">
        <v>2.77</v>
      </c>
    </row>
    <row r="364" spans="1:19" x14ac:dyDescent="0.25">
      <c r="A364" s="5" t="s">
        <v>422</v>
      </c>
      <c r="S364" s="3">
        <v>1.95</v>
      </c>
    </row>
    <row r="365" spans="1:19" x14ac:dyDescent="0.25">
      <c r="A365" s="5" t="s">
        <v>423</v>
      </c>
      <c r="S365" s="3">
        <v>3.95</v>
      </c>
    </row>
    <row r="366" spans="1:19" x14ac:dyDescent="0.25">
      <c r="A366" s="5" t="s">
        <v>424</v>
      </c>
      <c r="S366" s="3">
        <v>1.79</v>
      </c>
    </row>
    <row r="367" spans="1:19" x14ac:dyDescent="0.25">
      <c r="A367" s="5" t="s">
        <v>425</v>
      </c>
      <c r="S367" s="3">
        <v>0</v>
      </c>
    </row>
    <row r="368" spans="1:19" x14ac:dyDescent="0.25">
      <c r="A368" s="5" t="s">
        <v>426</v>
      </c>
      <c r="S368" s="3">
        <v>0</v>
      </c>
    </row>
    <row r="369" spans="1:19" x14ac:dyDescent="0.25">
      <c r="A369" s="5" t="s">
        <v>427</v>
      </c>
      <c r="S369" s="3">
        <v>0</v>
      </c>
    </row>
    <row r="370" spans="1:19" x14ac:dyDescent="0.25">
      <c r="A370" s="5" t="s">
        <v>428</v>
      </c>
      <c r="S370" s="3">
        <v>0</v>
      </c>
    </row>
    <row r="371" spans="1:19" x14ac:dyDescent="0.25">
      <c r="A371" s="5" t="s">
        <v>429</v>
      </c>
      <c r="S371" s="3">
        <v>0</v>
      </c>
    </row>
    <row r="372" spans="1:19" x14ac:dyDescent="0.25">
      <c r="A372" s="5" t="s">
        <v>430</v>
      </c>
      <c r="S372" s="3">
        <v>0</v>
      </c>
    </row>
    <row r="373" spans="1:19" x14ac:dyDescent="0.25">
      <c r="A373" s="5" t="s">
        <v>431</v>
      </c>
      <c r="S373" s="3">
        <v>0</v>
      </c>
    </row>
    <row r="374" spans="1:19" x14ac:dyDescent="0.25">
      <c r="A374" s="5" t="s">
        <v>432</v>
      </c>
      <c r="S374" s="3">
        <v>0</v>
      </c>
    </row>
    <row r="375" spans="1:19" x14ac:dyDescent="0.25">
      <c r="A375" s="5" t="s">
        <v>433</v>
      </c>
      <c r="S375" s="3">
        <v>0</v>
      </c>
    </row>
    <row r="376" spans="1:19" x14ac:dyDescent="0.25">
      <c r="A376" s="5" t="s">
        <v>434</v>
      </c>
      <c r="S376" s="3">
        <v>0</v>
      </c>
    </row>
    <row r="377" spans="1:19" x14ac:dyDescent="0.25">
      <c r="A377" s="5" t="s">
        <v>435</v>
      </c>
      <c r="S377" s="3">
        <v>0</v>
      </c>
    </row>
    <row r="378" spans="1:19" x14ac:dyDescent="0.25">
      <c r="A378" s="5" t="s">
        <v>436</v>
      </c>
      <c r="S378" s="3">
        <v>0</v>
      </c>
    </row>
    <row r="379" spans="1:19" x14ac:dyDescent="0.25">
      <c r="A379" s="5" t="s">
        <v>437</v>
      </c>
      <c r="S379" s="3">
        <v>0</v>
      </c>
    </row>
    <row r="380" spans="1:19" x14ac:dyDescent="0.25">
      <c r="A380" s="5" t="s">
        <v>438</v>
      </c>
      <c r="S380" s="3">
        <v>0</v>
      </c>
    </row>
    <row r="381" spans="1:19" x14ac:dyDescent="0.25">
      <c r="A381" s="5" t="s">
        <v>439</v>
      </c>
      <c r="S381" s="3">
        <v>0</v>
      </c>
    </row>
    <row r="382" spans="1:19" x14ac:dyDescent="0.25">
      <c r="A382" s="5" t="s">
        <v>440</v>
      </c>
      <c r="S382" s="3">
        <v>0</v>
      </c>
    </row>
    <row r="383" spans="1:19" x14ac:dyDescent="0.25">
      <c r="A383" s="5" t="s">
        <v>441</v>
      </c>
      <c r="S383" s="3">
        <v>0</v>
      </c>
    </row>
    <row r="384" spans="1:19" x14ac:dyDescent="0.25">
      <c r="A384" s="5" t="s">
        <v>442</v>
      </c>
      <c r="S384" s="3">
        <v>0</v>
      </c>
    </row>
    <row r="385" spans="1:19" x14ac:dyDescent="0.25">
      <c r="A385" s="5" t="s">
        <v>443</v>
      </c>
      <c r="S385" s="3">
        <v>0</v>
      </c>
    </row>
    <row r="386" spans="1:19" x14ac:dyDescent="0.25">
      <c r="A386" s="5" t="s">
        <v>444</v>
      </c>
      <c r="S386" s="3">
        <v>0</v>
      </c>
    </row>
    <row r="387" spans="1:19" x14ac:dyDescent="0.25">
      <c r="A387" s="5" t="s">
        <v>445</v>
      </c>
      <c r="S387" s="3">
        <v>0</v>
      </c>
    </row>
    <row r="388" spans="1:19" x14ac:dyDescent="0.25">
      <c r="A388" s="5" t="s">
        <v>446</v>
      </c>
      <c r="S388" s="3">
        <v>0</v>
      </c>
    </row>
    <row r="389" spans="1:19" x14ac:dyDescent="0.25">
      <c r="A389" s="5" t="s">
        <v>447</v>
      </c>
      <c r="S389" s="3">
        <v>0</v>
      </c>
    </row>
    <row r="390" spans="1:19" x14ac:dyDescent="0.25">
      <c r="A390" s="5" t="s">
        <v>448</v>
      </c>
      <c r="S390" s="3">
        <v>0</v>
      </c>
    </row>
    <row r="391" spans="1:19" x14ac:dyDescent="0.25">
      <c r="A391" s="5" t="s">
        <v>449</v>
      </c>
      <c r="S391" s="3">
        <v>0.17</v>
      </c>
    </row>
    <row r="392" spans="1:19" x14ac:dyDescent="0.25">
      <c r="A392" s="5" t="s">
        <v>450</v>
      </c>
      <c r="S392" s="3">
        <v>0</v>
      </c>
    </row>
    <row r="393" spans="1:19" x14ac:dyDescent="0.25">
      <c r="A393" s="5" t="s">
        <v>451</v>
      </c>
      <c r="S393" s="3">
        <v>0</v>
      </c>
    </row>
    <row r="394" spans="1:19" x14ac:dyDescent="0.25">
      <c r="A394" s="5" t="s">
        <v>452</v>
      </c>
      <c r="S394" s="3">
        <v>0</v>
      </c>
    </row>
    <row r="395" spans="1:19" x14ac:dyDescent="0.25">
      <c r="A395" s="5" t="s">
        <v>453</v>
      </c>
      <c r="S395" s="3">
        <v>0.17</v>
      </c>
    </row>
    <row r="396" spans="1:19" x14ac:dyDescent="0.25">
      <c r="A396" s="5" t="s">
        <v>454</v>
      </c>
      <c r="S396" s="3">
        <v>0</v>
      </c>
    </row>
    <row r="397" spans="1:19" x14ac:dyDescent="0.25">
      <c r="A397" s="5" t="s">
        <v>455</v>
      </c>
      <c r="S397" s="3">
        <v>0</v>
      </c>
    </row>
    <row r="398" spans="1:19" x14ac:dyDescent="0.25">
      <c r="A398" s="5" t="s">
        <v>456</v>
      </c>
      <c r="S398" s="3">
        <v>0</v>
      </c>
    </row>
    <row r="399" spans="1:19" x14ac:dyDescent="0.25">
      <c r="A399" s="5" t="s">
        <v>457</v>
      </c>
      <c r="S399" s="3">
        <v>0.17</v>
      </c>
    </row>
    <row r="400" spans="1:19" x14ac:dyDescent="0.25">
      <c r="A400" s="5" t="s">
        <v>458</v>
      </c>
      <c r="S400" s="3">
        <v>0</v>
      </c>
    </row>
    <row r="401" spans="1:19" x14ac:dyDescent="0.25">
      <c r="A401" s="5" t="s">
        <v>459</v>
      </c>
      <c r="S401" s="3">
        <v>0</v>
      </c>
    </row>
    <row r="402" spans="1:19" x14ac:dyDescent="0.25">
      <c r="A402" s="5" t="s">
        <v>460</v>
      </c>
      <c r="S402" s="3">
        <v>0</v>
      </c>
    </row>
    <row r="403" spans="1:19" x14ac:dyDescent="0.25">
      <c r="A403" s="5" t="s">
        <v>461</v>
      </c>
      <c r="S403" s="3">
        <v>0.17</v>
      </c>
    </row>
    <row r="404" spans="1:19" x14ac:dyDescent="0.25">
      <c r="A404" s="5" t="s">
        <v>462</v>
      </c>
      <c r="S404" s="3">
        <v>0</v>
      </c>
    </row>
    <row r="405" spans="1:19" x14ac:dyDescent="0.25">
      <c r="A405" s="5" t="s">
        <v>463</v>
      </c>
      <c r="S405" s="3">
        <v>0</v>
      </c>
    </row>
    <row r="406" spans="1:19" x14ac:dyDescent="0.25">
      <c r="A406" s="5" t="s">
        <v>464</v>
      </c>
      <c r="S406" s="3">
        <v>0</v>
      </c>
    </row>
    <row r="407" spans="1:19" x14ac:dyDescent="0.25">
      <c r="A407" s="5" t="s">
        <v>465</v>
      </c>
      <c r="S407" s="3">
        <v>0</v>
      </c>
    </row>
    <row r="408" spans="1:19" x14ac:dyDescent="0.25">
      <c r="A408" s="5" t="s">
        <v>466</v>
      </c>
      <c r="S408" s="3">
        <v>0</v>
      </c>
    </row>
    <row r="409" spans="1:19" x14ac:dyDescent="0.25">
      <c r="A409" s="5" t="s">
        <v>467</v>
      </c>
      <c r="S409" s="3">
        <v>0</v>
      </c>
    </row>
    <row r="410" spans="1:19" x14ac:dyDescent="0.25">
      <c r="A410" s="5" t="s">
        <v>468</v>
      </c>
      <c r="S410" s="3">
        <v>0</v>
      </c>
    </row>
    <row r="411" spans="1:19" x14ac:dyDescent="0.25">
      <c r="A411" s="5" t="s">
        <v>469</v>
      </c>
      <c r="S411" s="3">
        <v>0</v>
      </c>
    </row>
    <row r="412" spans="1:19" x14ac:dyDescent="0.25">
      <c r="A412" s="5" t="s">
        <v>470</v>
      </c>
      <c r="S412" s="3">
        <v>0</v>
      </c>
    </row>
    <row r="413" spans="1:19" x14ac:dyDescent="0.25">
      <c r="A413" s="5" t="s">
        <v>471</v>
      </c>
      <c r="S413" s="3">
        <v>0</v>
      </c>
    </row>
    <row r="414" spans="1:19" x14ac:dyDescent="0.25">
      <c r="A414" s="5" t="s">
        <v>472</v>
      </c>
      <c r="S414" s="3">
        <v>0</v>
      </c>
    </row>
    <row r="415" spans="1:19" x14ac:dyDescent="0.25">
      <c r="A415" s="5" t="s">
        <v>473</v>
      </c>
      <c r="S415" s="3">
        <v>0</v>
      </c>
    </row>
    <row r="416" spans="1:19" x14ac:dyDescent="0.25">
      <c r="A416" s="5" t="s">
        <v>474</v>
      </c>
      <c r="S416" s="3">
        <v>0</v>
      </c>
    </row>
    <row r="417" spans="1:19" x14ac:dyDescent="0.25">
      <c r="A417" s="5" t="s">
        <v>475</v>
      </c>
      <c r="S417" s="3">
        <v>0</v>
      </c>
    </row>
    <row r="418" spans="1:19" x14ac:dyDescent="0.25">
      <c r="A418" s="5" t="s">
        <v>476</v>
      </c>
      <c r="S418" s="3">
        <v>0</v>
      </c>
    </row>
    <row r="419" spans="1:19" x14ac:dyDescent="0.25">
      <c r="A419" s="5" t="s">
        <v>477</v>
      </c>
      <c r="S419" s="3">
        <v>0.31</v>
      </c>
    </row>
    <row r="420" spans="1:19" x14ac:dyDescent="0.25">
      <c r="A420" s="5" t="s">
        <v>478</v>
      </c>
      <c r="S420" s="3">
        <v>0</v>
      </c>
    </row>
    <row r="421" spans="1:19" x14ac:dyDescent="0.25">
      <c r="A421" s="5" t="s">
        <v>479</v>
      </c>
      <c r="S421" s="3">
        <v>0</v>
      </c>
    </row>
    <row r="422" spans="1:19" x14ac:dyDescent="0.25">
      <c r="A422" s="5" t="s">
        <v>480</v>
      </c>
      <c r="S422" s="3">
        <v>0</v>
      </c>
    </row>
    <row r="423" spans="1:19" x14ac:dyDescent="0.25">
      <c r="A423" s="5" t="s">
        <v>481</v>
      </c>
      <c r="S423" s="3">
        <v>0.31</v>
      </c>
    </row>
    <row r="424" spans="1:19" x14ac:dyDescent="0.25">
      <c r="A424" s="5" t="s">
        <v>482</v>
      </c>
      <c r="S424" s="3">
        <v>0</v>
      </c>
    </row>
    <row r="425" spans="1:19" x14ac:dyDescent="0.25">
      <c r="A425" s="5" t="s">
        <v>483</v>
      </c>
      <c r="S425" s="3">
        <v>0</v>
      </c>
    </row>
    <row r="426" spans="1:19" x14ac:dyDescent="0.25">
      <c r="A426" s="5" t="s">
        <v>484</v>
      </c>
      <c r="S426" s="3">
        <v>0</v>
      </c>
    </row>
    <row r="427" spans="1:19" x14ac:dyDescent="0.25">
      <c r="A427" s="5" t="s">
        <v>485</v>
      </c>
      <c r="S427" s="3">
        <v>48.78</v>
      </c>
    </row>
    <row r="428" spans="1:19" x14ac:dyDescent="0.25">
      <c r="A428" s="5" t="s">
        <v>486</v>
      </c>
      <c r="S428" s="3">
        <v>0</v>
      </c>
    </row>
    <row r="429" spans="1:19" x14ac:dyDescent="0.25">
      <c r="A429" s="5" t="s">
        <v>487</v>
      </c>
      <c r="S429" s="3">
        <v>0.61</v>
      </c>
    </row>
    <row r="430" spans="1:19" x14ac:dyDescent="0.25">
      <c r="A430" s="5" t="s">
        <v>488</v>
      </c>
      <c r="S430" s="3">
        <v>0</v>
      </c>
    </row>
    <row r="431" spans="1:19" x14ac:dyDescent="0.25">
      <c r="A431" s="5" t="s">
        <v>489</v>
      </c>
      <c r="S431" s="3">
        <v>0.51</v>
      </c>
    </row>
    <row r="432" spans="1:19" x14ac:dyDescent="0.25">
      <c r="A432" s="5" t="s">
        <v>490</v>
      </c>
      <c r="S432" s="3">
        <v>8.6199999999999992</v>
      </c>
    </row>
    <row r="433" spans="1:19" x14ac:dyDescent="0.25">
      <c r="A433" s="5" t="s">
        <v>491</v>
      </c>
      <c r="S433" s="3">
        <v>8.59</v>
      </c>
    </row>
    <row r="434" spans="1:19" x14ac:dyDescent="0.25">
      <c r="A434" s="5" t="s">
        <v>492</v>
      </c>
      <c r="S434" s="3">
        <v>8.77</v>
      </c>
    </row>
    <row r="435" spans="1:19" x14ac:dyDescent="0.25">
      <c r="A435" s="5" t="s">
        <v>493</v>
      </c>
      <c r="S435" s="3">
        <v>8.6999999999999993</v>
      </c>
    </row>
    <row r="436" spans="1:19" x14ac:dyDescent="0.25">
      <c r="A436" s="5" t="s">
        <v>494</v>
      </c>
      <c r="S436" s="3">
        <v>2.82</v>
      </c>
    </row>
    <row r="437" spans="1:19" x14ac:dyDescent="0.25">
      <c r="A437" s="5" t="s">
        <v>495</v>
      </c>
      <c r="S437" s="3">
        <v>6.07</v>
      </c>
    </row>
    <row r="438" spans="1:19" x14ac:dyDescent="0.25">
      <c r="A438" s="5" t="s">
        <v>496</v>
      </c>
      <c r="S438" s="3">
        <v>8.82</v>
      </c>
    </row>
    <row r="439" spans="1:19" x14ac:dyDescent="0.25">
      <c r="A439" s="5" t="s">
        <v>497</v>
      </c>
      <c r="S439" s="3">
        <v>8.83</v>
      </c>
    </row>
    <row r="440" spans="1:19" x14ac:dyDescent="0.25">
      <c r="A440" s="5" t="s">
        <v>498</v>
      </c>
      <c r="S440" s="3">
        <v>8.77</v>
      </c>
    </row>
    <row r="441" spans="1:19" x14ac:dyDescent="0.25">
      <c r="A441" s="5" t="s">
        <v>499</v>
      </c>
      <c r="S441" s="3">
        <v>8.59</v>
      </c>
    </row>
    <row r="442" spans="1:19" x14ac:dyDescent="0.25">
      <c r="A442" s="5" t="s">
        <v>500</v>
      </c>
      <c r="S442" s="3">
        <v>8.76</v>
      </c>
    </row>
    <row r="443" spans="1:19" x14ac:dyDescent="0.25">
      <c r="A443" s="5" t="s">
        <v>501</v>
      </c>
      <c r="S443" s="3">
        <v>8.93</v>
      </c>
    </row>
    <row r="444" spans="1:19" x14ac:dyDescent="0.25">
      <c r="A444" s="5" t="s">
        <v>502</v>
      </c>
      <c r="S444" s="3">
        <v>8.82</v>
      </c>
    </row>
    <row r="445" spans="1:19" x14ac:dyDescent="0.25">
      <c r="A445" s="5" t="s">
        <v>503</v>
      </c>
      <c r="S445" s="3">
        <v>8.35</v>
      </c>
    </row>
    <row r="446" spans="1:19" x14ac:dyDescent="0.25">
      <c r="A446" s="5" t="s">
        <v>504</v>
      </c>
      <c r="S446" s="3">
        <v>8.61</v>
      </c>
    </row>
    <row r="447" spans="1:19" x14ac:dyDescent="0.25">
      <c r="A447" s="5" t="s">
        <v>505</v>
      </c>
      <c r="S447" s="3">
        <v>8.76</v>
      </c>
    </row>
    <row r="448" spans="1:19" x14ac:dyDescent="0.25">
      <c r="A448" s="5" t="s">
        <v>506</v>
      </c>
      <c r="S448" s="3">
        <v>8.48</v>
      </c>
    </row>
    <row r="449" spans="1:19" x14ac:dyDescent="0.25">
      <c r="A449" s="5" t="s">
        <v>507</v>
      </c>
      <c r="S449" s="3">
        <v>1.94</v>
      </c>
    </row>
    <row r="450" spans="1:19" x14ac:dyDescent="0.25">
      <c r="A450" s="5" t="s">
        <v>508</v>
      </c>
      <c r="S450" s="3">
        <v>1.94</v>
      </c>
    </row>
    <row r="451" spans="1:19" x14ac:dyDescent="0.25">
      <c r="A451" s="5" t="s">
        <v>509</v>
      </c>
      <c r="S451" s="3">
        <v>0.09</v>
      </c>
    </row>
    <row r="452" spans="1:19" x14ac:dyDescent="0.25">
      <c r="A452" s="5" t="s">
        <v>510</v>
      </c>
      <c r="S452" s="3">
        <v>1.93</v>
      </c>
    </row>
    <row r="453" spans="1:19" x14ac:dyDescent="0.25">
      <c r="A453" s="5" t="s">
        <v>511</v>
      </c>
      <c r="S453" s="3">
        <v>48.78</v>
      </c>
    </row>
    <row r="454" spans="1:19" x14ac:dyDescent="0.25">
      <c r="A454" s="5" t="s">
        <v>512</v>
      </c>
      <c r="S454" s="3">
        <v>0.44</v>
      </c>
    </row>
    <row r="455" spans="1:19" x14ac:dyDescent="0.25">
      <c r="A455" s="5" t="s">
        <v>513</v>
      </c>
      <c r="S455" s="3">
        <v>7.23</v>
      </c>
    </row>
    <row r="456" spans="1:19" x14ac:dyDescent="0.25">
      <c r="A456" s="5" t="s">
        <v>514</v>
      </c>
      <c r="S456" s="3">
        <v>7.06</v>
      </c>
    </row>
    <row r="457" spans="1:19" x14ac:dyDescent="0.25">
      <c r="A457" s="5" t="s">
        <v>515</v>
      </c>
      <c r="S457" s="3">
        <v>7.06</v>
      </c>
    </row>
    <row r="458" spans="1:19" x14ac:dyDescent="0.25">
      <c r="A458" s="5" t="s">
        <v>516</v>
      </c>
      <c r="S458" s="3">
        <v>7.08</v>
      </c>
    </row>
    <row r="459" spans="1:19" x14ac:dyDescent="0.25">
      <c r="A459" s="5" t="s">
        <v>517</v>
      </c>
      <c r="S459" s="3">
        <v>7.08</v>
      </c>
    </row>
    <row r="460" spans="1:19" x14ac:dyDescent="0.25">
      <c r="A460" s="5" t="s">
        <v>518</v>
      </c>
      <c r="S460" s="3">
        <v>28.86</v>
      </c>
    </row>
    <row r="461" spans="1:19" x14ac:dyDescent="0.25">
      <c r="A461" s="5" t="s">
        <v>519</v>
      </c>
      <c r="S461" s="3">
        <v>0.81</v>
      </c>
    </row>
    <row r="462" spans="1:19" x14ac:dyDescent="0.25">
      <c r="A462" s="5" t="s">
        <v>520</v>
      </c>
      <c r="S462" s="3">
        <v>0.81</v>
      </c>
    </row>
    <row r="463" spans="1:19" x14ac:dyDescent="0.25">
      <c r="A463" s="5" t="s">
        <v>521</v>
      </c>
      <c r="S463" s="3">
        <v>26.09</v>
      </c>
    </row>
    <row r="464" spans="1:19" x14ac:dyDescent="0.25">
      <c r="A464" s="5" t="s">
        <v>522</v>
      </c>
      <c r="S464" s="3">
        <v>0.81</v>
      </c>
    </row>
    <row r="465" spans="1:19" x14ac:dyDescent="0.25">
      <c r="A465" s="5" t="s">
        <v>523</v>
      </c>
      <c r="S465" s="3">
        <v>0.81</v>
      </c>
    </row>
    <row r="466" spans="1:19" x14ac:dyDescent="0.25">
      <c r="A466" s="5" t="s">
        <v>524</v>
      </c>
      <c r="S466" s="3">
        <v>0.81</v>
      </c>
    </row>
    <row r="467" spans="1:19" x14ac:dyDescent="0.25">
      <c r="A467" s="5" t="s">
        <v>525</v>
      </c>
      <c r="S467" s="3">
        <v>0.01</v>
      </c>
    </row>
    <row r="468" spans="1:19" x14ac:dyDescent="0.25">
      <c r="A468" s="5" t="s">
        <v>526</v>
      </c>
      <c r="S468" s="3">
        <v>0.01</v>
      </c>
    </row>
    <row r="469" spans="1:19" x14ac:dyDescent="0.25">
      <c r="A469" s="5" t="s">
        <v>527</v>
      </c>
      <c r="S469" s="3">
        <v>0.81</v>
      </c>
    </row>
    <row r="470" spans="1:19" x14ac:dyDescent="0.25">
      <c r="A470" s="5" t="s">
        <v>528</v>
      </c>
      <c r="S470" s="3">
        <v>0</v>
      </c>
    </row>
    <row r="471" spans="1:19" x14ac:dyDescent="0.25">
      <c r="A471" s="5" t="s">
        <v>529</v>
      </c>
      <c r="S471" s="3">
        <v>0.81</v>
      </c>
    </row>
    <row r="472" spans="1:19" x14ac:dyDescent="0.25">
      <c r="A472" s="5" t="s">
        <v>530</v>
      </c>
      <c r="S472" s="3">
        <v>0.81</v>
      </c>
    </row>
    <row r="473" spans="1:19" x14ac:dyDescent="0.25">
      <c r="A473" s="5" t="s">
        <v>531</v>
      </c>
      <c r="S473" s="3">
        <v>2.82</v>
      </c>
    </row>
    <row r="474" spans="1:19" x14ac:dyDescent="0.25">
      <c r="A474" s="5" t="s">
        <v>532</v>
      </c>
      <c r="S474" s="3">
        <v>4.25</v>
      </c>
    </row>
    <row r="475" spans="1:19" x14ac:dyDescent="0.25">
      <c r="A475" s="5" t="s">
        <v>533</v>
      </c>
      <c r="S475" s="3">
        <v>0.54</v>
      </c>
    </row>
    <row r="476" spans="1:19" x14ac:dyDescent="0.25">
      <c r="A476" s="5" t="s">
        <v>534</v>
      </c>
      <c r="S476" s="3">
        <v>2.0299999999999998</v>
      </c>
    </row>
    <row r="477" spans="1:19" x14ac:dyDescent="0.25">
      <c r="A477" s="5" t="s">
        <v>535</v>
      </c>
      <c r="S477" s="3">
        <v>1.01</v>
      </c>
    </row>
    <row r="478" spans="1:19" x14ac:dyDescent="0.25">
      <c r="A478" s="5" t="s">
        <v>536</v>
      </c>
      <c r="S478" s="3">
        <v>2.97</v>
      </c>
    </row>
    <row r="479" spans="1:19" x14ac:dyDescent="0.25">
      <c r="A479" s="5" t="s">
        <v>537</v>
      </c>
      <c r="S479" s="3">
        <v>3.16</v>
      </c>
    </row>
    <row r="480" spans="1:19" x14ac:dyDescent="0.25">
      <c r="A480" s="5" t="s">
        <v>538</v>
      </c>
      <c r="S480" s="3">
        <v>1.05</v>
      </c>
    </row>
    <row r="481" spans="1:19" x14ac:dyDescent="0.25">
      <c r="A481" s="5" t="s">
        <v>539</v>
      </c>
      <c r="S481" s="3">
        <v>0</v>
      </c>
    </row>
    <row r="482" spans="1:19" x14ac:dyDescent="0.25">
      <c r="A482" s="5" t="s">
        <v>540</v>
      </c>
      <c r="S482" s="3">
        <v>0.69</v>
      </c>
    </row>
    <row r="483" spans="1:19" x14ac:dyDescent="0.25">
      <c r="A483" s="5" t="s">
        <v>541</v>
      </c>
      <c r="S483" s="3">
        <v>1.95</v>
      </c>
    </row>
    <row r="484" spans="1:19" x14ac:dyDescent="0.25">
      <c r="A484" s="5" t="s">
        <v>542</v>
      </c>
      <c r="S484" s="3">
        <v>2.77</v>
      </c>
    </row>
    <row r="485" spans="1:19" x14ac:dyDescent="0.25">
      <c r="A485" s="5" t="s">
        <v>543</v>
      </c>
      <c r="S485" s="3">
        <v>0.17</v>
      </c>
    </row>
    <row r="486" spans="1:19" x14ac:dyDescent="0.25">
      <c r="A486" s="5" t="s">
        <v>544</v>
      </c>
      <c r="S486" s="3">
        <v>0</v>
      </c>
    </row>
    <row r="487" spans="1:19" x14ac:dyDescent="0.25">
      <c r="A487" s="5" t="s">
        <v>545</v>
      </c>
      <c r="S487" s="3">
        <v>0.43</v>
      </c>
    </row>
    <row r="488" spans="1:19" x14ac:dyDescent="0.25">
      <c r="A488" s="5" t="s">
        <v>546</v>
      </c>
      <c r="S488" s="3">
        <v>0</v>
      </c>
    </row>
    <row r="489" spans="1:19" x14ac:dyDescent="0.25">
      <c r="A489" s="5" t="s">
        <v>547</v>
      </c>
      <c r="S489" s="3">
        <v>0</v>
      </c>
    </row>
    <row r="490" spans="1:19" x14ac:dyDescent="0.25">
      <c r="A490" s="5" t="s">
        <v>548</v>
      </c>
      <c r="S490" s="3">
        <v>0.38</v>
      </c>
    </row>
    <row r="491" spans="1:19" x14ac:dyDescent="0.25">
      <c r="A491" s="5" t="s">
        <v>549</v>
      </c>
      <c r="S491" s="3">
        <v>0</v>
      </c>
    </row>
    <row r="492" spans="1:19" x14ac:dyDescent="0.25">
      <c r="A492" s="5" t="s">
        <v>550</v>
      </c>
      <c r="S492" s="3">
        <v>0</v>
      </c>
    </row>
    <row r="493" spans="1:19" x14ac:dyDescent="0.25">
      <c r="A493" s="5" t="s">
        <v>551</v>
      </c>
      <c r="S493" s="3">
        <v>0</v>
      </c>
    </row>
    <row r="494" spans="1:19" x14ac:dyDescent="0.25">
      <c r="A494" s="5" t="s">
        <v>552</v>
      </c>
      <c r="S494" s="3">
        <v>0</v>
      </c>
    </row>
    <row r="495" spans="1:19" x14ac:dyDescent="0.25">
      <c r="A495" s="5" t="s">
        <v>553</v>
      </c>
      <c r="S495" s="3">
        <v>0</v>
      </c>
    </row>
    <row r="496" spans="1:19" x14ac:dyDescent="0.25">
      <c r="A496" s="5" t="s">
        <v>554</v>
      </c>
      <c r="S496" s="3">
        <v>0</v>
      </c>
    </row>
    <row r="497" spans="1:19" x14ac:dyDescent="0.25">
      <c r="A497" s="5" t="s">
        <v>555</v>
      </c>
      <c r="S497" s="3">
        <v>0</v>
      </c>
    </row>
    <row r="498" spans="1:19" x14ac:dyDescent="0.25">
      <c r="A498" s="5" t="s">
        <v>556</v>
      </c>
      <c r="S498" s="3">
        <v>0.93</v>
      </c>
    </row>
    <row r="499" spans="1:19" x14ac:dyDescent="0.25">
      <c r="A499" s="5" t="s">
        <v>557</v>
      </c>
      <c r="S499" s="3">
        <v>0</v>
      </c>
    </row>
    <row r="500" spans="1:19" x14ac:dyDescent="0.25">
      <c r="A500" s="5" t="s">
        <v>558</v>
      </c>
      <c r="S500" s="3">
        <v>0.63</v>
      </c>
    </row>
    <row r="501" spans="1:19" x14ac:dyDescent="0.25">
      <c r="A501" s="5" t="s">
        <v>559</v>
      </c>
      <c r="S501" s="3">
        <v>1.53</v>
      </c>
    </row>
    <row r="502" spans="1:19" x14ac:dyDescent="0.25">
      <c r="A502" s="5" t="s">
        <v>560</v>
      </c>
      <c r="S502" s="3">
        <v>1.7</v>
      </c>
    </row>
    <row r="503" spans="1:19" x14ac:dyDescent="0.25">
      <c r="A503" s="5" t="s">
        <v>561</v>
      </c>
      <c r="S503" s="3">
        <v>0.79</v>
      </c>
    </row>
    <row r="504" spans="1:19" x14ac:dyDescent="0.25">
      <c r="A504" s="5" t="s">
        <v>562</v>
      </c>
      <c r="S504" s="3">
        <v>0.79</v>
      </c>
    </row>
    <row r="505" spans="1:19" x14ac:dyDescent="0.25">
      <c r="A505" s="5" t="s">
        <v>563</v>
      </c>
      <c r="S505" s="3">
        <v>0.79</v>
      </c>
    </row>
    <row r="506" spans="1:19" x14ac:dyDescent="0.25">
      <c r="A506" s="5" t="s">
        <v>564</v>
      </c>
      <c r="S506" s="3">
        <v>29.54</v>
      </c>
    </row>
    <row r="507" spans="1:19" x14ac:dyDescent="0.25">
      <c r="A507" s="5" t="s">
        <v>565</v>
      </c>
      <c r="S50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Park, Si Woo</cp:lastModifiedBy>
  <dcterms:created xsi:type="dcterms:W3CDTF">2025-08-14T22:46:02Z</dcterms:created>
  <dcterms:modified xsi:type="dcterms:W3CDTF">2025-08-14T23:14:46Z</dcterms:modified>
</cp:coreProperties>
</file>